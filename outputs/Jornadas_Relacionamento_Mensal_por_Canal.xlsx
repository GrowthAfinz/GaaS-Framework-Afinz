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 &amp; Premissas" sheetId="1" state="visible" r:id="rId3"/>
    <sheet name="Desbloqueio" sheetId="2" state="visible" r:id="rId4"/>
    <sheet name="Incentivo ao Uso" sheetId="3" state="visible" r:id="rId5"/>
    <sheet name="Welcome" sheetId="4" state="visible" r:id="rId6"/>
    <sheet name="Pool de Ofer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<sst xmlns="http://schemas.openxmlformats.org/spreadsheetml/2006/main" count="1454" uniqueCount="435">
  <si>
    <t xml:space="preserve">Mapa de Jornadas &amp; Premissas</t>
  </si>
  <si>
    <t xml:space="preserve">Resultado mensal por canal das frentes de Desbloqueio, Incentivo ao Uso, Welcome e Pool de Ofertas. Gerado em 16/10/2026.</t>
  </si>
  <si>
    <t xml:space="preserve">PREMISSAS</t>
  </si>
  <si>
    <t xml:space="preserve">• Fonte: Framework_Growth_Aquisição_CartaoDinamica_BI_4.csv. São 5 tabelas dinâmicas lado a lado: WhatsApp, E-mail, SMS, Resultados de performance e Push. As linhas "Total Geral" foram descartadas.</t>
  </si>
  <si>
    <t xml:space="preserve">• Deduplicação: no export, a mesma activity aparece replicada em todas as jornadas que a usam (ex.: Desbloqueio Plurix = _SEEDLIST nas 1.471 linhas). Por isso só entra a jornada oficial, e cada tabela é deduplicada por activity + data.</t>
  </si>
  <si>
    <t xml:space="preserve">• O bloco de Resultados (propostas/aprovados/finalizados) cobre só aquisição; nenhuma destas jornadas aparece nele. O output é de engajamento por canal.</t>
  </si>
  <si>
    <t xml:space="preserve">• Enviados = impactos (mensagens), não clientes únicos. Um cliente que recebe D0, D5 e D15 conta 3 vezes.</t>
  </si>
  <si>
    <t xml:space="preserve">• Taxas sobre volumes somados: % Entrega = Entregues ÷ Enviados · % Leitura = Lidos ÷ Entregues · % Abertura = Aberturas ÷ Entregues · CTR = Cliques ÷ Entregues · CTOR = Cliques ÷ Aberturas · Push: % Sucesso/Falha/Não registrados ÷ Enviados.</t>
  </si>
  <si>
    <t xml:space="preserve">• Push: "Enviados" corresponde a total_attempts do export (padronizado com os demais canais).</t>
  </si>
  <si>
    <t xml:space="preserve">• SMS e Push não trazem abertura nem clique no export. Só WhatsApp (leitura) e E-mail (abertura/clique) têm engajamento.</t>
  </si>
  <si>
    <t xml:space="preserve">• Cada tabela começa no 1º mês com disparo daquela jornada naquele canal. Meses sem disparo no meio da série aparecem zerados (-).</t>
  </si>
  <si>
    <t xml:space="preserve">• Disponibilidade por canal no export: WhatsApp set/25→out/26 · SMS set/25→out/26 · E-mail mar/26→out/26 · Push ago/26→out/26. Os pivôs estavam com filtro "Ano-Mês (Vários itens)", então meses fora do filtro não vieram.</t>
  </si>
  <si>
    <t xml:space="preserve">• Em volumes muito pequenos, o export pode trazer Lidos maior que Entregues (ex.: Pós-Tombamento jan/26: 1 entregue e 7 lidos), o que gera % Leitura acima de 100%. É inconsistência da fonte e foi mantida como veio.</t>
  </si>
  <si>
    <t xml:space="preserve">• Outubro/26 é parcial: dados até 15–16/10/2026.</t>
  </si>
  <si>
    <t xml:space="preserve">• "VC" agrupa B2C e B2B2C (cartão Afinz Visa). O nome da jornada não permite separar as duas BUs.</t>
  </si>
  <si>
    <t xml:space="preserve">JORNADAS INCLUÍDAS</t>
  </si>
  <si>
    <t xml:space="preserve">Aba</t>
  </si>
  <si>
    <t xml:space="preserve">BU</t>
  </si>
  <si>
    <t xml:space="preserve">Seção</t>
  </si>
  <si>
    <t xml:space="preserve">Jornada(s)</t>
  </si>
  <si>
    <t xml:space="preserve">Canal</t>
  </si>
  <si>
    <t xml:space="preserve">Início</t>
  </si>
  <si>
    <t xml:space="preserve">Fim</t>
  </si>
  <si>
    <t xml:space="preserve">Nº activities</t>
  </si>
  <si>
    <t xml:space="preserve">Enviados (total)</t>
  </si>
  <si>
    <t xml:space="preserve">Desbloqueio</t>
  </si>
  <si>
    <t xml:space="preserve">B2C/B2B2C (VC)</t>
  </si>
  <si>
    <t xml:space="preserve">Jornada de Desbloqueio VC</t>
  </si>
  <si>
    <t xml:space="preserve">JOR_ATIVACAO_DESBLOQUEIO_VC</t>
  </si>
  <si>
    <t xml:space="preserve">E-MAIL</t>
  </si>
  <si>
    <t xml:space="preserve">mar/26</t>
  </si>
  <si>
    <t xml:space="preserve">out/26</t>
  </si>
  <si>
    <t xml:space="preserve">PUSH</t>
  </si>
  <si>
    <t xml:space="preserve">ago/26</t>
  </si>
  <si>
    <t xml:space="preserve">Plurix (Mais Amigo)</t>
  </si>
  <si>
    <t xml:space="preserve">Jornada de Desbloqueio Plurix</t>
  </si>
  <si>
    <t xml:space="preserve">JOR_ATIVAÇÃO_DESBLOQUEIO_PLURIX_MAISAMIGO</t>
  </si>
  <si>
    <t xml:space="preserve">WHATSAPP</t>
  </si>
  <si>
    <t xml:space="preserve">nov/25</t>
  </si>
  <si>
    <t xml:space="preserve">Pós-Tombamento Plurix (separado)</t>
  </si>
  <si>
    <t xml:space="preserve">JOR_POS_TOMBAMENTO_DESBLOQUEIO_PLURIX_MAISAMIGO · JOR_POS_TOMBAMENTO_DESBLOQUEIO_PLURIX_MAISAMIGO_MAIO</t>
  </si>
  <si>
    <t xml:space="preserve">jul/26</t>
  </si>
  <si>
    <t xml:space="preserve">Incentivo ao Uso</t>
  </si>
  <si>
    <t xml:space="preserve">Jornada de Incentivo ao Uso VC</t>
  </si>
  <si>
    <t xml:space="preserve">JOR_ATIVACAO_INCENTIVO_AO_USO_AFINZ_VC</t>
  </si>
  <si>
    <t xml:space="preserve">mai/26</t>
  </si>
  <si>
    <t xml:space="preserve">Campanhas Copa · Ativação S1, S2 + Reativação S1 (separado)</t>
  </si>
  <si>
    <t xml:space="preserve">JOR_RENTABILIZACAO_ATIVACAO_B2C_B2B2C_COPA_SEM1 · JOR_RENTABILIZACAO_ATIVACAO_B2C_B2B2C_COPA_SEM2 · JOR_RENTABILIZACAO_REATIVACAO_B2C_B2B2C_COPA_SEM1</t>
  </si>
  <si>
    <t xml:space="preserve">set/26</t>
  </si>
  <si>
    <t xml:space="preserve">Jornada de Incentivo ao Uso Plurix</t>
  </si>
  <si>
    <t xml:space="preserve">JOR_INCENTIVO_AO_USO_PLURIX_MAISAMIGO</t>
  </si>
  <si>
    <t xml:space="preserve">out/25</t>
  </si>
  <si>
    <t xml:space="preserve">SMS</t>
  </si>
  <si>
    <t xml:space="preserve">dez/25</t>
  </si>
  <si>
    <t xml:space="preserve">Welcome</t>
  </si>
  <si>
    <t xml:space="preserve">Jornada Welcome VC</t>
  </si>
  <si>
    <t xml:space="preserve">JOR_ATIVACAO_WELCOME_AFINZ_VC</t>
  </si>
  <si>
    <t xml:space="preserve">set/25</t>
  </si>
  <si>
    <t xml:space="preserve">Errata Welcome VC (separado)</t>
  </si>
  <si>
    <t xml:space="preserve">ERRATA_JOR_ATIVACAO_WELCOME_AFINZ_VC</t>
  </si>
  <si>
    <t xml:space="preserve">jun/26</t>
  </si>
  <si>
    <t xml:space="preserve">Jornada Welcome Plurix</t>
  </si>
  <si>
    <t xml:space="preserve">JOR_ATIVACAO_WELCOME_PLURIX_MAISAMIGO</t>
  </si>
  <si>
    <t xml:space="preserve">Pool de Ofertas</t>
  </si>
  <si>
    <t xml:space="preserve">Pool de Ofertas · Shopping Afinz (e-mail)</t>
  </si>
  <si>
    <t xml:space="preserve">JOR_RENT_POOL_OFERTAS</t>
  </si>
  <si>
    <t xml:space="preserve">Repique Emagrecentro</t>
  </si>
  <si>
    <t xml:space="preserve">JOR_RENT_POOL_OFERTAS_REPIQUE_EMAGRECENTRO</t>
  </si>
  <si>
    <t xml:space="preserve">Shopping Afinz 2025 · Emagrecentro</t>
  </si>
  <si>
    <t xml:space="preserve">JOR_SHOPPING_AFINZ_EMAGRECENTRO</t>
  </si>
  <si>
    <t xml:space="preserve">Shopping Afinz 2025 · Star Móveis</t>
  </si>
  <si>
    <t xml:space="preserve">JOR_SHOPPING_AFINZ_STARMOVEIS</t>
  </si>
  <si>
    <t xml:space="preserve">Shopping Afinz 2025 · Virtuosa</t>
  </si>
  <si>
    <t xml:space="preserve">JOR_SHOPPING_AFINZ_VIRTUOSA</t>
  </si>
  <si>
    <t xml:space="preserve">Pool de Ofertas Plurix · Ofertas da Semana</t>
  </si>
  <si>
    <t xml:space="preserve">JOR_CIC_POOL_OFERTAS_PLURIX</t>
  </si>
  <si>
    <t xml:space="preserve">POOL MANUAL (provável teste)</t>
  </si>
  <si>
    <t xml:space="preserve">POOL MANUAL</t>
  </si>
  <si>
    <t xml:space="preserve">JORNADAS EXCLUÍDAS</t>
  </si>
  <si>
    <t xml:space="preserve">Jornada</t>
  </si>
  <si>
    <t xml:space="preserve">Motivo</t>
  </si>
  <si>
    <t xml:space="preserve">JOR_ATIVACAO_DESBLOQUEIO_PLURIX_MAISAMIGO_SEEDLIST</t>
  </si>
  <si>
    <t xml:space="preserve">Seedlist (QA). WPP é cópia idêntica da jornada oficial</t>
  </si>
  <si>
    <t xml:space="preserve">JOR_ATIVACAO_WELCOME_PLURIX_MAISAMIGO_SEEDLIST</t>
  </si>
  <si>
    <t xml:space="preserve">JOR_INCENTIVO_AO_USO_PLURIX_MAISAMIGO_TESTE / (Copiar)</t>
  </si>
  <si>
    <t xml:space="preserve">Teste ou cópia. Linhas idênticas à jornada oficial</t>
  </si>
  <si>
    <t xml:space="preserve">JOR_Cartao_VC_Welcome / (Copiar)</t>
  </si>
  <si>
    <t xml:space="preserve">Nome antigo ou cópia do Welcome VC. Mesma activity e mesmos números</t>
  </si>
  <si>
    <t xml:space="preserve">JOR_TESTE / JOR_TESTE_UX</t>
  </si>
  <si>
    <t xml:space="preserve">Jornadas de teste. A UX replica a activity do Welcome VC</t>
  </si>
  <si>
    <t xml:space="preserve">JOR_ATIVACAO_PLURIX_COPA_TEST_* / teste_JOR_RENTABILIZACAO_*</t>
  </si>
  <si>
    <t xml:space="preserve">Testes</t>
  </si>
  <si>
    <t xml:space="preserve">JOR_TRS_ATENDIMENTO_CENTRAL_DESBLOQUEAR</t>
  </si>
  <si>
    <t xml:space="preserve">Transacional (resposta de atendimento), não é régua de desbloqueio</t>
  </si>
  <si>
    <t xml:space="preserve">JOR_TRS_POOL_OFERTAS_RELATORIO</t>
  </si>
  <si>
    <t xml:space="preserve">E-mail de relatório interno do pool (107 envios)</t>
  </si>
  <si>
    <t xml:space="preserve">JOR_Upsell_Desbloqueio · JOR_VP_Cartao_Desbloqueio(_DaSanta/_Hirota) · JOR_Upsell_Ativacao · JOR_VP_Cartao_Ativacao</t>
  </si>
  <si>
    <t xml:space="preserve">Pilotos Platinum de set–out/25, com menos de 600 envios no total</t>
  </si>
  <si>
    <t xml:space="preserve">afz_car_vis_rnt_wpp_nov_disp2s1copa_diarioo (activity)</t>
  </si>
  <si>
    <t xml:space="preserve">Pertence às jornadas RENTABILIZACAO_NOVOS_COPA; aparecia replicada na Reativação Copa S1</t>
  </si>
  <si>
    <t xml:space="preserve">RELACIONADAS, FORA DO ESCOPO (não solicitadas)</t>
  </si>
  <si>
    <t xml:space="preserve">• JOR_RENTABILIZACAO_NOVOS_B2C_B2B2C_COPA_SEM1/SEM2</t>
  </si>
  <si>
    <t xml:space="preserve">• JOR_RENTABILIZACAO_ATIVACAO_*_FASE1_COPA_*, _BB_COPA_SEM1, _CADASTRO_INCOMPLETO_COPA, INCENTIVO_CADASTRO_COPA_PONTUAL</t>
  </si>
  <si>
    <t xml:space="preserve">• JOR_ATIVACAO_PLURIX_COPA_SEM1 (ativação Copa Plurix: WPP + e-mail, jun–ago/26)</t>
  </si>
  <si>
    <t xml:space="preserve">• JOR_*_REATIVACAO_* de aquisição (carrinho/abandono): são reativação de proposta, não de cartão</t>
  </si>
  <si>
    <t xml:space="preserve">Desbloqueio · Resultado mensal por canal</t>
  </si>
  <si>
    <t xml:space="preserve">Fonte: Framework_Growth_Aquisição_CartaoDinamica_BI_4.csv (blocos de canal WPP, E-mail, SMS e Push). Linhas deduplicadas por activity + data. Taxas calculadas sobre os volumes somados. Enviados = impactos, não clientes únicos. Regras completas na aba Mapa &amp; Premissas.</t>
  </si>
  <si>
    <t xml:space="preserve">■ Jornada de Desbloqueio VC</t>
  </si>
  <si>
    <t xml:space="preserve">Jornada(s): JOR_ATIVACAO_DESBLOQUEIO_VC</t>
  </si>
  <si>
    <t xml:space="preserve">▸ E-MAIL</t>
  </si>
  <si>
    <t xml:space="preserve">Mês</t>
  </si>
  <si>
    <t xml:space="preserve">Enviados</t>
  </si>
  <si>
    <t xml:space="preserve">Entregues</t>
  </si>
  <si>
    <t xml:space="preserve">Aberturas únicas</t>
  </si>
  <si>
    <t xml:space="preserve">Cliques únicos</t>
  </si>
  <si>
    <t xml:space="preserve">% Entrega</t>
  </si>
  <si>
    <t xml:space="preserve">% Abertura</t>
  </si>
  <si>
    <t xml:space="preserve">CTR</t>
  </si>
  <si>
    <t xml:space="preserve">CTOR</t>
  </si>
  <si>
    <t xml:space="preserve">abr/26</t>
  </si>
  <si>
    <t xml:space="preserve">TOTAL</t>
  </si>
  <si>
    <t xml:space="preserve">▸ PUSH</t>
  </si>
  <si>
    <t xml:space="preserve">Sucesso</t>
  </si>
  <si>
    <t xml:space="preserve">Falha</t>
  </si>
  <si>
    <t xml:space="preserve">Não registrados</t>
  </si>
  <si>
    <t xml:space="preserve">% Sucesso</t>
  </si>
  <si>
    <t xml:space="preserve">% Falha</t>
  </si>
  <si>
    <t xml:space="preserve">% Não registrados</t>
  </si>
  <si>
    <t xml:space="preserve">PLURIX (MAIS AMIGO)</t>
  </si>
  <si>
    <t xml:space="preserve">■ Jornada de Desbloqueio Plurix</t>
  </si>
  <si>
    <t xml:space="preserve">Jornada(s): JOR_ATIVAÇÃO_DESBLOQUEIO_PLURIX_MAISAMIGO</t>
  </si>
  <si>
    <t xml:space="preserve">▸ WHATSAPP</t>
  </si>
  <si>
    <t xml:space="preserve">Lidos</t>
  </si>
  <si>
    <t xml:space="preserve">% Leitura</t>
  </si>
  <si>
    <t xml:space="preserve">jan/26</t>
  </si>
  <si>
    <t xml:space="preserve">fev/26</t>
  </si>
  <si>
    <t xml:space="preserve">■ Pós-Tombamento Plurix (separado)</t>
  </si>
  <si>
    <t xml:space="preserve">Jornada(s): JOR_POS_TOMBAMENTO_DESBLOQUEIO_PLURIX_MAISAMIGO · JOR_POS_TOMBAMENTO_DESBLOQUEIO_PLURIX_MAISAMIGO_MAIO</t>
  </si>
  <si>
    <t xml:space="preserve">Nota: Ação pontual de desbloqueio da base migrada (tombamento): nov/25–jan/26 e mai–jul/26. Fora da régua perene.</t>
  </si>
  <si>
    <t xml:space="preserve">POR ETAPA DA RÉGUA · acumulado do período inteiro</t>
  </si>
  <si>
    <t xml:space="preserve">Etapa extraída do nome da activity (dN = dias desde a entrada na jornada). Campanhas sem "dN" usam o número do disparo. Activities renomeadas aparecem em linhas próprias.</t>
  </si>
  <si>
    <t xml:space="preserve">▸ WHATSAPP · por etapa (acumulado do período)</t>
  </si>
  <si>
    <t xml:space="preserve">Etapa</t>
  </si>
  <si>
    <t xml:space="preserve">Jornada / seção</t>
  </si>
  <si>
    <t xml:space="preserve">Activity</t>
  </si>
  <si>
    <t xml:space="preserve">D0</t>
  </si>
  <si>
    <t xml:space="preserve">19/11/25</t>
  </si>
  <si>
    <t xml:space="preserve">15/10/26</t>
  </si>
  <si>
    <t xml:space="preserve">plu_atv_grl_reg_cart_wpp_d0-estanahoradedesbloquearseucartao_diario</t>
  </si>
  <si>
    <t xml:space="preserve">plu_atv_grl_reg_cart_wpp_d0-seucartaomaisamigojapodeserusado_diario</t>
  </si>
  <si>
    <t xml:space="preserve">D15</t>
  </si>
  <si>
    <t xml:space="preserve">03/12/25</t>
  </si>
  <si>
    <t xml:space="preserve">plu_atv_grl_reg_cart_wpp_d15-ganheenquantocompra_diario</t>
  </si>
  <si>
    <t xml:space="preserve">plu_atv_grl_reg_cart_wpp_d15-naoesperemaisparadesbloquearoseucartaomaisamigo_diario</t>
  </si>
  <si>
    <t xml:space="preserve">D25</t>
  </si>
  <si>
    <t xml:space="preserve">13/12/25</t>
  </si>
  <si>
    <t xml:space="preserve">plu_atv_grl_reg_cart_wpp_d25-saqueemdinheiro_diario</t>
  </si>
  <si>
    <t xml:space="preserve">D1</t>
  </si>
  <si>
    <t xml:space="preserve">25/11/25</t>
  </si>
  <si>
    <t xml:space="preserve">22/12/25</t>
  </si>
  <si>
    <t xml:space="preserve">plu_car_vis_rnt_wpp_tbm_postombamentod1_20251110</t>
  </si>
  <si>
    <t xml:space="preserve">D5</t>
  </si>
  <si>
    <t xml:space="preserve">29/11/25</t>
  </si>
  <si>
    <t xml:space="preserve">30/12/25</t>
  </si>
  <si>
    <t xml:space="preserve">plu_car_vis_rnt_wpp_tbm_postombamentod5_20251110</t>
  </si>
  <si>
    <t xml:space="preserve">D10</t>
  </si>
  <si>
    <t xml:space="preserve">07/12/25</t>
  </si>
  <si>
    <t xml:space="preserve">plu_car_vis_rnt_wpp_tbm_postombamentod10-resposta1_20251110</t>
  </si>
  <si>
    <t xml:space="preserve">01/12/25</t>
  </si>
  <si>
    <t xml:space="preserve">02/12/25</t>
  </si>
  <si>
    <t xml:space="preserve">plu_car_vis_rnt_wpp_tbm_postombamentod10-resposta3_20251110</t>
  </si>
  <si>
    <t xml:space="preserve">04/12/25</t>
  </si>
  <si>
    <t xml:space="preserve">07/01/26</t>
  </si>
  <si>
    <t xml:space="preserve">plu_car_vis_rnt_wpp_tbm_postombamentod10_20251110</t>
  </si>
  <si>
    <t xml:space="preserve">D20</t>
  </si>
  <si>
    <t xml:space="preserve">14/12/25</t>
  </si>
  <si>
    <t xml:space="preserve">24/01/26</t>
  </si>
  <si>
    <t xml:space="preserve">plu_car_vis_rnt_wpp_tbm_postombamentod20_20251110</t>
  </si>
  <si>
    <t xml:space="preserve">07/11/25</t>
  </si>
  <si>
    <t xml:space="preserve">plu_atv_grl_reg_cart_wpp_postombamentodisparo4d25_20251107</t>
  </si>
  <si>
    <t xml:space="preserve">Disparo 1</t>
  </si>
  <si>
    <t xml:space="preserve">26/05/26</t>
  </si>
  <si>
    <t xml:space="preserve">24/06/26</t>
  </si>
  <si>
    <t xml:space="preserve">plu_car_vis_rnt_wpp_nov_postombamento_pontual</t>
  </si>
  <si>
    <t xml:space="preserve">Disparo 2</t>
  </si>
  <si>
    <t xml:space="preserve">29/05/26</t>
  </si>
  <si>
    <t xml:space="preserve">06/07/26</t>
  </si>
  <si>
    <t xml:space="preserve">plu_car_vis_rnt_wpp_nov_postombamento2_pontual</t>
  </si>
  <si>
    <t xml:space="preserve">Disparo 3</t>
  </si>
  <si>
    <t xml:space="preserve">31/05/26</t>
  </si>
  <si>
    <t xml:space="preserve">plu_car_vis_rnt_wpp_nov_postombamento3_pontual</t>
  </si>
  <si>
    <t xml:space="preserve">▸ E-MAIL · por etapa (acumulado do período)</t>
  </si>
  <si>
    <t xml:space="preserve">10/03/26</t>
  </si>
  <si>
    <t xml:space="preserve">afz_car_vis_reg_email_blq_desbloqd05_diario</t>
  </si>
  <si>
    <t xml:space="preserve">D8</t>
  </si>
  <si>
    <t xml:space="preserve">11/03/26</t>
  </si>
  <si>
    <t xml:space="preserve">afz_car_vis_rnt_email_nov_desbloqd08adicgratis_diario</t>
  </si>
  <si>
    <t xml:space="preserve">D17</t>
  </si>
  <si>
    <t xml:space="preserve">08/10/26</t>
  </si>
  <si>
    <t xml:space="preserve">afz_car_vis_rnt_email_nov_desbloqd17vantagens_diario</t>
  </si>
  <si>
    <t xml:space="preserve">D27</t>
  </si>
  <si>
    <t xml:space="preserve">afz_car_vis_rnt_email_blq_desbloqd27farmacia_diario</t>
  </si>
  <si>
    <t xml:space="preserve">D40</t>
  </si>
  <si>
    <t xml:space="preserve">09/07/26</t>
  </si>
  <si>
    <t xml:space="preserve">afz_car_vis_reg_email_blq_desbloqd40facilidades_diario</t>
  </si>
  <si>
    <t xml:space="preserve">plu_atv_grl_reg_cart_email_d0-continueusandoseucartao_diario</t>
  </si>
  <si>
    <t xml:space="preserve">plu_atv_grl_reg_cart_email_d0-seucartaomaisamigojapodeserusado_diario</t>
  </si>
  <si>
    <t xml:space="preserve">plu_atv_grl_reg_cart_email_d5-desbloqueieseucartaomaisamigonoapp_diario</t>
  </si>
  <si>
    <t xml:space="preserve">14/10/26</t>
  </si>
  <si>
    <t xml:space="preserve">plu_atv_grl_reg_cart_email_d5-estanahoradedesbloquearseucartao_diario</t>
  </si>
  <si>
    <t xml:space="preserve">plu_atv_grl_reg_cart_email_d10-descontoemsaudeparaoseubolso_diario</t>
  </si>
  <si>
    <t xml:space="preserve">plu_atv_grl_reg_cart_email_d10-tenhadescontosevantagensunicas_diario</t>
  </si>
  <si>
    <t xml:space="preserve">plu_atv_grl_reg_cart_email_d20-beneficiosemsaudenumunicocartao_diario</t>
  </si>
  <si>
    <t xml:space="preserve">22/03/26</t>
  </si>
  <si>
    <t xml:space="preserve">plu_atv_grl_reg_cart_email_d20-desbloqueieseucartaomaisamigoem2cliques_diario</t>
  </si>
  <si>
    <t xml:space="preserve">D30</t>
  </si>
  <si>
    <t xml:space="preserve">01/05/26</t>
  </si>
  <si>
    <t xml:space="preserve">plu_atv_grl_reg_cart_email_d30-aindadatempodedesbloquearseucartaomaisamigo_diario</t>
  </si>
  <si>
    <t xml:space="preserve">plu_atv_grl_reg_cart_email_d30-maisvantagensparavoceeconomizarnoseudiaadia_diario</t>
  </si>
  <si>
    <t xml:space="preserve">D35</t>
  </si>
  <si>
    <t xml:space="preserve">plu_atv_grl_reg_cart_email_d35-aindadatempo:desbloqueieseucartaomaisamigo_diario</t>
  </si>
  <si>
    <t xml:space="preserve">D45</t>
  </si>
  <si>
    <t xml:space="preserve">plu_atv_grl_reg_cart_email_d45-liberetodososseusbeneficiosdoseucartaomaisamigo_diario</t>
  </si>
  <si>
    <t xml:space="preserve">D55</t>
  </si>
  <si>
    <t xml:space="preserve">09/03/26</t>
  </si>
  <si>
    <t xml:space="preserve">16/10/26</t>
  </si>
  <si>
    <t xml:space="preserve">plu_atv_grl_reg_cart_email_d55-temvantagensexclusivasesperandovoce_diario</t>
  </si>
  <si>
    <t xml:space="preserve">D65</t>
  </si>
  <si>
    <t xml:space="preserve">plu_atv_grl_reg_cart_email_d65-desbloqueieagoramesmoeaproveite_diario</t>
  </si>
  <si>
    <t xml:space="preserve">▸ PUSH · por etapa (acumulado do período)</t>
  </si>
  <si>
    <t xml:space="preserve">05/08/26</t>
  </si>
  <si>
    <t xml:space="preserve">afz_car_vis_reg_push_blq_desbloqd05_diario</t>
  </si>
  <si>
    <t xml:space="preserve">09/08/26</t>
  </si>
  <si>
    <t xml:space="preserve">afz_car_vis_reg_push_blq_desbloqd08atualemail_diario</t>
  </si>
  <si>
    <t xml:space="preserve">02/08/26</t>
  </si>
  <si>
    <t xml:space="preserve">afz_car_vis_reg_push_blq_desbloqd10adcgratisfam_diario</t>
  </si>
  <si>
    <t xml:space="preserve">01/08/26</t>
  </si>
  <si>
    <t xml:space="preserve">11/10/26</t>
  </si>
  <si>
    <t xml:space="preserve">afz_car_vis_reg_push_blq_desbloqd20tudonoapp_diario</t>
  </si>
  <si>
    <t xml:space="preserve">05/10/26</t>
  </si>
  <si>
    <t xml:space="preserve">afz_car_vis_reg_push_blq_desbloqd30vbf_diario</t>
  </si>
  <si>
    <t xml:space="preserve">D37</t>
  </si>
  <si>
    <t xml:space="preserve">04/08/26</t>
  </si>
  <si>
    <t xml:space="preserve">afz_car_vis_reg_push_blq_desbloqd37recargacel_diario</t>
  </si>
  <si>
    <t xml:space="preserve">Incentivo ao Uso · Resultado mensal por canal</t>
  </si>
  <si>
    <t xml:space="preserve">■ Jornada de Incentivo ao Uso VC</t>
  </si>
  <si>
    <t xml:space="preserve">Jornada(s): JOR_ATIVACAO_INCENTIVO_AO_USO_AFINZ_VC</t>
  </si>
  <si>
    <t xml:space="preserve">Nota: Jornada perene só tem e-mail, com disparos de mar/26 a mai/26 e nenhum depois disso no arquivo.</t>
  </si>
  <si>
    <t xml:space="preserve">■ Campanhas Copa · Ativação S1, S2 + Reativação S1 (separado)</t>
  </si>
  <si>
    <t xml:space="preserve">Jornada(s): JOR_RENTABILIZACAO_ATIVACAO_B2C_B2B2C_COPA_SEM1 · JOR_RENTABILIZACAO_ATIVACAO_B2C_B2B2C_COPA_SEM2 · JOR_RENTABILIZACAO_REATIVACAO_B2C_B2B2C_COPA_SEM1</t>
  </si>
  <si>
    <t xml:space="preserve">Nota: Campanhas sazonais, não jornada perene. Excluída a activity afz_car_vis_rnt_wpp_nov_disp2s1copa_diarioo: é da jornada NOVOS e aparecia replicada na Reativação.</t>
  </si>
  <si>
    <t xml:space="preserve">■ Jornada de Incentivo ao Uso Plurix</t>
  </si>
  <si>
    <t xml:space="preserve">Jornada(s): JOR_INCENTIVO_AO_USO_PLURIX_MAISAMIGO</t>
  </si>
  <si>
    <t xml:space="preserve">▸ SMS</t>
  </si>
  <si>
    <t xml:space="preserve">Não entregues</t>
  </si>
  <si>
    <t xml:space="preserve">Clique 1</t>
  </si>
  <si>
    <t xml:space="preserve">24/05/26</t>
  </si>
  <si>
    <t xml:space="preserve">16/08/26</t>
  </si>
  <si>
    <t xml:space="preserve">afz_car_vis_rnt_wpp_atv_clique1_diario</t>
  </si>
  <si>
    <t xml:space="preserve">11/06/26</t>
  </si>
  <si>
    <t xml:space="preserve">afz_car_vis_rnt_wpp_atv_clique1s2_diario</t>
  </si>
  <si>
    <t xml:space="preserve">21/05/26</t>
  </si>
  <si>
    <t xml:space="preserve">15/09/26</t>
  </si>
  <si>
    <t xml:space="preserve">afz_car_vis_rnt_wpp_atv_disp1s1copa_diario</t>
  </si>
  <si>
    <t xml:space="preserve">08/06/26</t>
  </si>
  <si>
    <t xml:space="preserve">31/08/26</t>
  </si>
  <si>
    <t xml:space="preserve">afz_car_vis_rnt_wpp_atv_disp1s2copa_diario</t>
  </si>
  <si>
    <t xml:space="preserve">28/05/26</t>
  </si>
  <si>
    <t xml:space="preserve">afz_car_vis_rnt_wpp_rtv_clique1_diario</t>
  </si>
  <si>
    <t xml:space="preserve">afz_car_vis_rnt_wpp_rtv_disp1s1copa_diario</t>
  </si>
  <si>
    <t xml:space="preserve">18/09/26</t>
  </si>
  <si>
    <t xml:space="preserve">afz_car_vis_rnt_wpp_atv_disp2s1copa_diario</t>
  </si>
  <si>
    <t xml:space="preserve">14/06/26</t>
  </si>
  <si>
    <t xml:space="preserve">afz_car_vis_rnt_wpp_atv_disp2wpps2copa_diario</t>
  </si>
  <si>
    <t xml:space="preserve">Clique 2</t>
  </si>
  <si>
    <t xml:space="preserve">06/06/26</t>
  </si>
  <si>
    <t xml:space="preserve">13/08/26</t>
  </si>
  <si>
    <t xml:space="preserve">afz_car_vis_rnt_wpp_rtv_clique2_diarioO</t>
  </si>
  <si>
    <t xml:space="preserve">10/10/25</t>
  </si>
  <si>
    <t xml:space="preserve">plu_ren_grl_reg_cart_wpp_d1-economianascomprascomcartao_diario</t>
  </si>
  <si>
    <t xml:space="preserve">28/07/26</t>
  </si>
  <si>
    <t xml:space="preserve">plu_ren_grl_reg_cart_wpp_d1-economianascomprascomcartaoo_diario</t>
  </si>
  <si>
    <t xml:space="preserve">plu_ren_grl_reg_cart_wpp_d10-ganhepontosenquantocompra_diario</t>
  </si>
  <si>
    <t xml:space="preserve">20/04/26</t>
  </si>
  <si>
    <t xml:space="preserve">afz_car_vis_reg_email_atd_ativacaod01pagtoaproximacao_diario</t>
  </si>
  <si>
    <t xml:space="preserve">D2</t>
  </si>
  <si>
    <t xml:space="preserve">22/04/26</t>
  </si>
  <si>
    <t xml:space="preserve">afz_car_vis_reg_email_atd_ativacaod02vantagens_diario</t>
  </si>
  <si>
    <t xml:space="preserve">D4</t>
  </si>
  <si>
    <t xml:space="preserve">24/04/26</t>
  </si>
  <si>
    <t xml:space="preserve">afz_car_vis_reg_email_atd_ativacaod04vbfarm_diario</t>
  </si>
  <si>
    <t xml:space="preserve">D12</t>
  </si>
  <si>
    <t xml:space="preserve">02/05/26</t>
  </si>
  <si>
    <t xml:space="preserve">afz_car_vis_reg_email_atd_ativacaod12vaidevisa_diario</t>
  </si>
  <si>
    <t xml:space="preserve">D14</t>
  </si>
  <si>
    <t xml:space="preserve">05/05/26</t>
  </si>
  <si>
    <t xml:space="preserve">afz_car_vis_reg_email_atd_ativacaod14adicgratuito_diario</t>
  </si>
  <si>
    <t xml:space="preserve">D18</t>
  </si>
  <si>
    <t xml:space="preserve">09/05/26</t>
  </si>
  <si>
    <t xml:space="preserve">afz_car_vis_reg_email_atd_ativacaod18appassinatura_diario</t>
  </si>
  <si>
    <t xml:space="preserve">12/03/26</t>
  </si>
  <si>
    <t xml:space="preserve">11/05/26</t>
  </si>
  <si>
    <t xml:space="preserve">afz_car_vis_reg_email_atd_ativacaod20segeassist_diario</t>
  </si>
  <si>
    <t xml:space="preserve">D21</t>
  </si>
  <si>
    <t xml:space="preserve">12/05/26</t>
  </si>
  <si>
    <t xml:space="preserve">afz_car_vis_reg_email_atd_ativacaod21redessociais_diario</t>
  </si>
  <si>
    <t xml:space="preserve">D26</t>
  </si>
  <si>
    <t xml:space="preserve">18/05/26</t>
  </si>
  <si>
    <t xml:space="preserve">afz_car_vis_reg_email_atd_ativacaod26whatsafinz_diario</t>
  </si>
  <si>
    <t xml:space="preserve">22/05/26</t>
  </si>
  <si>
    <t xml:space="preserve">afz_car_vis_reg_email_atd_ativacaod30facilidades_diario</t>
  </si>
  <si>
    <t xml:space="preserve">D31</t>
  </si>
  <si>
    <t xml:space="preserve">23/05/26</t>
  </si>
  <si>
    <t xml:space="preserve">afz_car_vis_reg_email_atd_ativacaod31segeassistrpq_diario</t>
  </si>
  <si>
    <t xml:space="preserve">14/08/26</t>
  </si>
  <si>
    <t xml:space="preserve">afz_car_vis_rnt_email_atv_disp1s1copa_diario</t>
  </si>
  <si>
    <t xml:space="preserve">afz_car_vis_rnt_email_atv_disp1s2copa_diario</t>
  </si>
  <si>
    <t xml:space="preserve">afz_car_vis_rnt_email_rtv_disp1s1copa_diario</t>
  </si>
  <si>
    <t xml:space="preserve">27/08/26</t>
  </si>
  <si>
    <t xml:space="preserve">afz_car_vis_rnt_email_atv_disp2s1copa_diario</t>
  </si>
  <si>
    <t xml:space="preserve">22/08/26</t>
  </si>
  <si>
    <t xml:space="preserve">afz_car_vis_rnt_email_atv_disp2s2copa_diario</t>
  </si>
  <si>
    <t xml:space="preserve">03/06/26</t>
  </si>
  <si>
    <t xml:space="preserve">19/08/26</t>
  </si>
  <si>
    <t xml:space="preserve">afz_car_vis_rnt_email_rtv_disp2s1copa_diario</t>
  </si>
  <si>
    <t xml:space="preserve">13/03/26</t>
  </si>
  <si>
    <t xml:space="preserve">plu_ren_grl_reg_cart_email_d1-beneficiosdocartao+clube_diario</t>
  </si>
  <si>
    <t xml:space="preserve">18/03/26</t>
  </si>
  <si>
    <t xml:space="preserve">29/06/26</t>
  </si>
  <si>
    <t xml:space="preserve">plu_ren_grl_reg_cart_email_d5-resgateeacumulepontos_diario</t>
  </si>
  <si>
    <t xml:space="preserve">plu_ren_grl_reg_cart_email_d20-cartaoadicional_diario</t>
  </si>
  <si>
    <t xml:space="preserve">30/09/26</t>
  </si>
  <si>
    <t xml:space="preserve">plu_ren_grl_reg_cart_email_d30-vocebemsaude_diario</t>
  </si>
  <si>
    <t xml:space="preserve">plu_ren_grl_reg_cart_email_d40-vocebemfarmacia_diario</t>
  </si>
  <si>
    <t xml:space="preserve">D50</t>
  </si>
  <si>
    <t xml:space="preserve">plu_ren_grl_reg_cart_email_d50-pagamentosdecontas_diario</t>
  </si>
  <si>
    <t xml:space="preserve">D60</t>
  </si>
  <si>
    <t xml:space="preserve">plu_ren_grl_reg_cart_email_d60-seguroseassistências_diario</t>
  </si>
  <si>
    <t xml:space="preserve">▸ SMS · por etapa (acumulado do período)</t>
  </si>
  <si>
    <t xml:space="preserve">D23</t>
  </si>
  <si>
    <t xml:space="preserve">25/12/25</t>
  </si>
  <si>
    <t xml:space="preserve">22/09/26</t>
  </si>
  <si>
    <t xml:space="preserve">plu_ren_grl_reg_cart_sms_d23-cartaoadicionalbounce_diario</t>
  </si>
  <si>
    <t xml:space="preserve">D33</t>
  </si>
  <si>
    <t xml:space="preserve">18/12/25</t>
  </si>
  <si>
    <t xml:space="preserve">03/10/26</t>
  </si>
  <si>
    <t xml:space="preserve">plu_ren_grl_reg_cart_sms_d33-vocebemsaudebouce_diario</t>
  </si>
  <si>
    <t xml:space="preserve">D43</t>
  </si>
  <si>
    <t xml:space="preserve">18/06/26</t>
  </si>
  <si>
    <t xml:space="preserve">plu_ren_grl_reg_cart_sms_d43-vocebemfarmaciabounce_diario</t>
  </si>
  <si>
    <t xml:space="preserve">20/08/26</t>
  </si>
  <si>
    <t xml:space="preserve">afz_car_vis_rnt_push_atv_disp1s1copa_diario</t>
  </si>
  <si>
    <t xml:space="preserve">afz_car_vis_rnt_push_atv_disp1s1copasc_diario</t>
  </si>
  <si>
    <t xml:space="preserve">25/08/26</t>
  </si>
  <si>
    <t xml:space="preserve">afz_car_vis_rnt_push_atv_disp1s2copa_diario</t>
  </si>
  <si>
    <t xml:space="preserve">afz_car_vis_rnt_push_atv_disp1s2copasc_diario</t>
  </si>
  <si>
    <t xml:space="preserve">18/08/26</t>
  </si>
  <si>
    <t xml:space="preserve">afz_car_vis_rnt_push_rtv_disp1s1copa_diario</t>
  </si>
  <si>
    <t xml:space="preserve">afz_car_vis_rnt_push_atv_disp2s1copa_diario</t>
  </si>
  <si>
    <t xml:space="preserve">afz_car_vis_rnt_push_atv_disp2s1copasc_diario</t>
  </si>
  <si>
    <t xml:space="preserve">30/08/26</t>
  </si>
  <si>
    <t xml:space="preserve">afz_car_vis_rnt_push_atv_disp2s2copa_diario</t>
  </si>
  <si>
    <t xml:space="preserve">afz_car_vis_rnt_push_atv_disp2s2copasc_diario</t>
  </si>
  <si>
    <t xml:space="preserve">24/08/26</t>
  </si>
  <si>
    <t xml:space="preserve">afz_car_vis_rnt_push_rtv_disp2s1copa_diario</t>
  </si>
  <si>
    <t xml:space="preserve">Welcome · Resultado mensal por canal</t>
  </si>
  <si>
    <t xml:space="preserve">■ Jornada Welcome VC</t>
  </si>
  <si>
    <t xml:space="preserve">Jornada(s): JOR_ATIVACAO_WELCOME_AFINZ_VC</t>
  </si>
  <si>
    <t xml:space="preserve">■ Errata Welcome VC (separado)</t>
  </si>
  <si>
    <t xml:space="preserve">Jornada(s): ERRATA_JOR_ATIVACAO_WELCOME_AFINZ_VC</t>
  </si>
  <si>
    <t xml:space="preserve">Nota: Disparo pontual de correção para a base ativa (jun–jul/26). Não faz parte da régua.</t>
  </si>
  <si>
    <t xml:space="preserve">■ Jornada Welcome Plurix</t>
  </si>
  <si>
    <t xml:space="preserve">Jornada(s): JOR_ATIVACAO_WELCOME_PLURIX_MAISAMIGO</t>
  </si>
  <si>
    <t xml:space="preserve">Nota: Inclui as activities renomeadas com sufixo _diariio/_diiario, ativas a partir de ago/26.</t>
  </si>
  <si>
    <t xml:space="preserve">02/09/25</t>
  </si>
  <si>
    <t xml:space="preserve">afz_car_vis_reg_wpp_blq_welcomed01boasvindas_diario</t>
  </si>
  <si>
    <t xml:space="preserve">Único</t>
  </si>
  <si>
    <t xml:space="preserve">21/07/26</t>
  </si>
  <si>
    <t xml:space="preserve">afz_car_vis_rel_wpp_atv_errataativos_pontual</t>
  </si>
  <si>
    <t xml:space="preserve">30/10/25</t>
  </si>
  <si>
    <t xml:space="preserve">plu_atv_grl_reg_cart_wpp_d1-boasvindas+instrucoesdeuso_diario</t>
  </si>
  <si>
    <t xml:space="preserve">plu_atv_grl_reg_cart_wpp_d8-estimuloparausarocartaovirtual_diariio</t>
  </si>
  <si>
    <t xml:space="preserve">14/07/26</t>
  </si>
  <si>
    <t xml:space="preserve">plu_atv_grl_reg_cart_wpp_d8-estimuloparausarocartaovirtual_diario</t>
  </si>
  <si>
    <t xml:space="preserve">plu_atv_grl_reg_cart_wpp_d8-estimuloparausarocartaovirtual_diiario</t>
  </si>
  <si>
    <t xml:space="preserve">plu_atv_grl_reg_cart_wpp_d8-reforcodosbeneficiosparaquemjausou_diariio</t>
  </si>
  <si>
    <t xml:space="preserve">22/07/26</t>
  </si>
  <si>
    <t xml:space="preserve">plu_atv_grl_reg_cart_wpp_d8-reforcodosbeneficiosparaquemjausou_diario</t>
  </si>
  <si>
    <t xml:space="preserve">plu_atv_grl_reg_cart_wpp_d8-reforcodosbeneficiosparaquemjausou_diiario</t>
  </si>
  <si>
    <t xml:space="preserve">afz_car_vis_reg_email_blq_welcomed04evitegolpes_diario</t>
  </si>
  <si>
    <t xml:space="preserve">plu_atv_grl_reg_cart_email_d1-boasvindas+instruçõesdeuso_diario</t>
  </si>
  <si>
    <t xml:space="preserve">plu_atv_grl_reg_cart_email_d4-incentivoacontinuidadedeusodocartao_diario</t>
  </si>
  <si>
    <t xml:space="preserve">plu_atv_grl_reg_cart_email_d4-incentivoaprimeiracompra+reforcodosbeneficios_diario</t>
  </si>
  <si>
    <t xml:space="preserve">plu_atv_grl_reg_cart_email_d12-continueaproveitandoaomáximooseucartão_diario</t>
  </si>
  <si>
    <t xml:space="preserve">plu_atv_grl_reg_cart_email_d12-últimachamadoparausarseucartãovirtual_diario</t>
  </si>
  <si>
    <t xml:space="preserve">Pool de Ofertas · Resultado mensal por canal</t>
  </si>
  <si>
    <t xml:space="preserve">■ Pool de Ofertas · Shopping Afinz (e-mail)</t>
  </si>
  <si>
    <t xml:space="preserve">Jornada(s): JOR_RENT_POOL_OFERTAS</t>
  </si>
  <si>
    <t xml:space="preserve">■ Repique Emagrecentro</t>
  </si>
  <si>
    <t xml:space="preserve">Jornada(s): JOR_RENT_POOL_OFERTAS_REPIQUE_EMAGRECENTRO</t>
  </si>
  <si>
    <t xml:space="preserve">■ Shopping Afinz 2025 · Emagrecentro</t>
  </si>
  <si>
    <t xml:space="preserve">Jornada(s): JOR_SHOPPING_AFINZ_EMAGRECENTRO</t>
  </si>
  <si>
    <t xml:space="preserve">Nota: Versão anterior do pool (out–nov/25).</t>
  </si>
  <si>
    <t xml:space="preserve">■ Shopping Afinz 2025 · Star Móveis</t>
  </si>
  <si>
    <t xml:space="preserve">Jornada(s): JOR_SHOPPING_AFINZ_STARMOVEIS</t>
  </si>
  <si>
    <t xml:space="preserve">■ Shopping Afinz 2025 · Virtuosa</t>
  </si>
  <si>
    <t xml:space="preserve">Jornada(s): JOR_SHOPPING_AFINZ_VIRTUOSA</t>
  </si>
  <si>
    <t xml:space="preserve">■ Pool de Ofertas Plurix · Ofertas da Semana</t>
  </si>
  <si>
    <t xml:space="preserve">Jornada(s): JOR_CIC_POOL_OFERTAS_PLURIX</t>
  </si>
  <si>
    <t xml:space="preserve">■ POOL MANUAL (provável teste)</t>
  </si>
  <si>
    <t xml:space="preserve">Jornada(s): POOL MANUAL</t>
  </si>
  <si>
    <t xml:space="preserve">Nota: Apenas 16 envios em 2 dias (22–23/09/26), com a mesma activity da CIC Plurix logo antes da estreia dela. Tem cara de teste: avaliar antes de considerar.</t>
  </si>
  <si>
    <t xml:space="preserve">Repique 1</t>
  </si>
  <si>
    <t xml:space="preserve">12/08/26</t>
  </si>
  <si>
    <t xml:space="preserve">23/09/26</t>
  </si>
  <si>
    <t xml:space="preserve">afz_seg_vis_rnt_wpp_atv_repiqueofertawpp1_pontual</t>
  </si>
  <si>
    <t xml:space="preserve">Repique 2</t>
  </si>
  <si>
    <t xml:space="preserve">afz_seg_vis_rnt_wpp_atv_repiqueofertawpp2_pontual</t>
  </si>
  <si>
    <t xml:space="preserve">08/10/25</t>
  </si>
  <si>
    <t xml:space="preserve">17/11/25</t>
  </si>
  <si>
    <t xml:space="preserve">afz_car_cla_rnt_wpp_cart_emagrecentrona35aprocestetgratis_20251007</t>
  </si>
  <si>
    <t xml:space="preserve">afz_car_cla_rnt_wpp_cart_starmoveisna35aofertas_20251007</t>
  </si>
  <si>
    <t xml:space="preserve">07/10/25</t>
  </si>
  <si>
    <t xml:space="preserve">31/10/25</t>
  </si>
  <si>
    <t xml:space="preserve">afz_car_cla_rnt_wpp_cart_virtuosana35a5off_20251007</t>
  </si>
  <si>
    <t xml:space="preserve">17/09/26</t>
  </si>
  <si>
    <t xml:space="preserve">Shopping_Afinz</t>
  </si>
  <si>
    <t xml:space="preserve">24/09/26</t>
  </si>
  <si>
    <t xml:space="preserve">01/10/26</t>
  </si>
  <si>
    <t xml:space="preserve">EMAIL OFERTAS DA SEMANA - Manual Plurix</t>
  </si>
  <si>
    <t xml:space="preserve">afz_seg_vis_rnt_sms_atv_repiqueofertasms1_pontual</t>
  </si>
  <si>
    <t xml:space="preserve">afz_seg_vis_rnt_sms_atv_repiqueofertasms2_pontual</t>
  </si>
  <si>
    <t xml:space="preserve">afz_car_cla_rnt_sms_cart_emagrecentrona35aprocestetgratis_20251007</t>
  </si>
  <si>
    <t xml:space="preserve">afz_car_cla_rnt_sms_cart_starmoveisna35aofertas_20251007</t>
  </si>
  <si>
    <t xml:space="preserve">afz_car_cla_rnt_sms_cart_virtuosana35a5off_20251007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</si>
</sst>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0.0%;\-0.0%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72A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92400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34155"/>
        <bgColor rgb="FF475569"/>
      </patternFill>
    </fill>
    <fill>
      <patternFill patternType="solid">
        <fgColor rgb="FF0E7490"/>
        <bgColor rgb="FF008080"/>
      </patternFill>
    </fill>
    <fill>
      <patternFill patternType="solid">
        <fgColor rgb="FFE2E8F0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6D28D9"/>
        <bgColor rgb="FF800080"/>
      </patternFill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33415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6D28D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  <c r="I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  <c r="H11" s="4"/>
      <c r="I11" s="4"/>
    </row>
    <row r="12" customFormat="false" ht="30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  <c r="H12" s="4"/>
      <c r="I12" s="4"/>
    </row>
    <row r="13" customFormat="false" ht="30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  <c r="H13" s="4"/>
      <c r="I13" s="4"/>
    </row>
    <row r="14" customFormat="false" ht="30" hidden="false" customHeight="true" outlineLevel="0" collapsed="false">
      <c r="A14" s="4" t="s">
        <v>12</v>
      </c>
      <c r="B14" s="4"/>
      <c r="C14" s="4"/>
      <c r="D14" s="4"/>
      <c r="E14" s="4"/>
      <c r="F14" s="4"/>
      <c r="G14" s="4"/>
      <c r="H14" s="4"/>
      <c r="I14" s="4"/>
    </row>
    <row r="15" customFormat="false" ht="30" hidden="false" customHeight="true" outlineLevel="0" collapsed="false">
      <c r="A15" s="4" t="s">
        <v>13</v>
      </c>
      <c r="B15" s="4"/>
      <c r="C15" s="4"/>
      <c r="D15" s="4"/>
      <c r="E15" s="4"/>
      <c r="F15" s="4"/>
      <c r="G15" s="4"/>
      <c r="H15" s="4"/>
      <c r="I15" s="4"/>
    </row>
    <row r="16" customFormat="false" ht="30" hidden="false" customHeight="true" outlineLevel="0" collapsed="false">
      <c r="A16" s="4" t="s">
        <v>14</v>
      </c>
      <c r="B16" s="4"/>
      <c r="C16" s="4"/>
      <c r="D16" s="4"/>
      <c r="E16" s="4"/>
      <c r="F16" s="4"/>
      <c r="G16" s="4"/>
      <c r="H16" s="4"/>
      <c r="I16" s="4"/>
    </row>
    <row r="18" customFormat="false" ht="15" hidden="false" customHeight="false" outlineLevel="0" collapsed="false">
      <c r="A18" s="3" t="s">
        <v>15</v>
      </c>
    </row>
    <row r="19" customFormat="false" ht="27.75" hidden="false" customHeight="true" outlineLevel="0" collapsed="false">
      <c r="A19" s="5" t="s">
        <v>16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21</v>
      </c>
      <c r="G19" s="5" t="s">
        <v>22</v>
      </c>
      <c r="H19" s="5" t="s">
        <v>23</v>
      </c>
      <c r="I19" s="5" t="s">
        <v>24</v>
      </c>
    </row>
    <row r="20" customFormat="false" ht="15" hidden="false" customHeight="false" outlineLevel="0" collapsed="false">
      <c r="A20" s="6" t="s">
        <v>25</v>
      </c>
      <c r="B20" s="6" t="s">
        <v>26</v>
      </c>
      <c r="C20" s="6" t="s">
        <v>27</v>
      </c>
      <c r="D20" s="6" t="s">
        <v>28</v>
      </c>
      <c r="E20" s="6" t="s">
        <v>29</v>
      </c>
      <c r="F20" s="6" t="s">
        <v>30</v>
      </c>
      <c r="G20" s="6" t="s">
        <v>31</v>
      </c>
      <c r="H20" s="7" t="n">
        <v>5</v>
      </c>
      <c r="I20" s="7" t="n">
        <v>79952</v>
      </c>
    </row>
    <row r="21" customFormat="false" ht="15" hidden="false" customHeight="false" outlineLevel="0" collapsed="false">
      <c r="A21" s="6" t="s">
        <v>25</v>
      </c>
      <c r="B21" s="6" t="s">
        <v>26</v>
      </c>
      <c r="C21" s="6" t="s">
        <v>27</v>
      </c>
      <c r="D21" s="6" t="s">
        <v>28</v>
      </c>
      <c r="E21" s="6" t="s">
        <v>32</v>
      </c>
      <c r="F21" s="6" t="s">
        <v>33</v>
      </c>
      <c r="G21" s="6" t="s">
        <v>31</v>
      </c>
      <c r="H21" s="7" t="n">
        <v>6</v>
      </c>
      <c r="I21" s="7" t="n">
        <v>32204</v>
      </c>
    </row>
    <row r="22" customFormat="false" ht="15" hidden="false" customHeight="false" outlineLevel="0" collapsed="false">
      <c r="A22" s="6" t="s">
        <v>25</v>
      </c>
      <c r="B22" s="6" t="s">
        <v>34</v>
      </c>
      <c r="C22" s="6" t="s">
        <v>35</v>
      </c>
      <c r="D22" s="6" t="s">
        <v>36</v>
      </c>
      <c r="E22" s="6" t="s">
        <v>37</v>
      </c>
      <c r="F22" s="6" t="s">
        <v>38</v>
      </c>
      <c r="G22" s="6" t="s">
        <v>31</v>
      </c>
      <c r="H22" s="7" t="n">
        <v>5</v>
      </c>
      <c r="I22" s="7" t="n">
        <v>302081</v>
      </c>
    </row>
    <row r="23" customFormat="false" ht="15" hidden="false" customHeight="false" outlineLevel="0" collapsed="false">
      <c r="A23" s="6" t="s">
        <v>25</v>
      </c>
      <c r="B23" s="6" t="s">
        <v>34</v>
      </c>
      <c r="C23" s="6" t="s">
        <v>35</v>
      </c>
      <c r="D23" s="6" t="s">
        <v>36</v>
      </c>
      <c r="E23" s="6" t="s">
        <v>29</v>
      </c>
      <c r="F23" s="6" t="s">
        <v>30</v>
      </c>
      <c r="G23" s="6" t="s">
        <v>31</v>
      </c>
      <c r="H23" s="7" t="n">
        <v>14</v>
      </c>
      <c r="I23" s="7" t="n">
        <v>17680</v>
      </c>
    </row>
    <row r="24" customFormat="false" ht="15" hidden="false" customHeight="false" outlineLevel="0" collapsed="false">
      <c r="A24" s="6" t="s">
        <v>25</v>
      </c>
      <c r="B24" s="6" t="s">
        <v>34</v>
      </c>
      <c r="C24" s="6" t="s">
        <v>39</v>
      </c>
      <c r="D24" s="6" t="s">
        <v>40</v>
      </c>
      <c r="E24" s="6" t="s">
        <v>37</v>
      </c>
      <c r="F24" s="6" t="s">
        <v>38</v>
      </c>
      <c r="G24" s="6" t="s">
        <v>41</v>
      </c>
      <c r="H24" s="7" t="n">
        <v>10</v>
      </c>
      <c r="I24" s="7" t="n">
        <v>17165</v>
      </c>
    </row>
    <row r="25" customFormat="false" ht="15" hidden="false" customHeight="false" outlineLevel="0" collapsed="false">
      <c r="A25" s="6" t="s">
        <v>42</v>
      </c>
      <c r="B25" s="6" t="s">
        <v>26</v>
      </c>
      <c r="C25" s="6" t="s">
        <v>43</v>
      </c>
      <c r="D25" s="6" t="s">
        <v>44</v>
      </c>
      <c r="E25" s="6" t="s">
        <v>29</v>
      </c>
      <c r="F25" s="6" t="s">
        <v>30</v>
      </c>
      <c r="G25" s="6" t="s">
        <v>45</v>
      </c>
      <c r="H25" s="7" t="n">
        <v>11</v>
      </c>
      <c r="I25" s="7" t="n">
        <v>51773</v>
      </c>
    </row>
    <row r="26" customFormat="false" ht="15" hidden="false" customHeight="false" outlineLevel="0" collapsed="false">
      <c r="A26" s="6" t="s">
        <v>42</v>
      </c>
      <c r="B26" s="6" t="s">
        <v>26</v>
      </c>
      <c r="C26" s="6" t="s">
        <v>46</v>
      </c>
      <c r="D26" s="6" t="s">
        <v>47</v>
      </c>
      <c r="E26" s="6" t="s">
        <v>37</v>
      </c>
      <c r="F26" s="6" t="s">
        <v>45</v>
      </c>
      <c r="G26" s="6" t="s">
        <v>48</v>
      </c>
      <c r="H26" s="7" t="n">
        <v>9</v>
      </c>
      <c r="I26" s="7" t="n">
        <v>45298</v>
      </c>
    </row>
    <row r="27" customFormat="false" ht="15" hidden="false" customHeight="false" outlineLevel="0" collapsed="false">
      <c r="A27" s="6" t="s">
        <v>42</v>
      </c>
      <c r="B27" s="6" t="s">
        <v>26</v>
      </c>
      <c r="C27" s="6" t="s">
        <v>46</v>
      </c>
      <c r="D27" s="6" t="s">
        <v>47</v>
      </c>
      <c r="E27" s="6" t="s">
        <v>29</v>
      </c>
      <c r="F27" s="6" t="s">
        <v>45</v>
      </c>
      <c r="G27" s="6" t="s">
        <v>33</v>
      </c>
      <c r="H27" s="7" t="n">
        <v>6</v>
      </c>
      <c r="I27" s="7" t="n">
        <v>1317173</v>
      </c>
    </row>
    <row r="28" customFormat="false" ht="15" hidden="false" customHeight="false" outlineLevel="0" collapsed="false">
      <c r="A28" s="6" t="s">
        <v>42</v>
      </c>
      <c r="B28" s="6" t="s">
        <v>26</v>
      </c>
      <c r="C28" s="6" t="s">
        <v>46</v>
      </c>
      <c r="D28" s="6" t="s">
        <v>47</v>
      </c>
      <c r="E28" s="6" t="s">
        <v>32</v>
      </c>
      <c r="F28" s="6" t="s">
        <v>33</v>
      </c>
      <c r="G28" s="6" t="s">
        <v>33</v>
      </c>
      <c r="H28" s="7" t="n">
        <v>10</v>
      </c>
      <c r="I28" s="7" t="n">
        <v>6963</v>
      </c>
    </row>
    <row r="29" customFormat="false" ht="15" hidden="false" customHeight="false" outlineLevel="0" collapsed="false">
      <c r="A29" s="6" t="s">
        <v>42</v>
      </c>
      <c r="B29" s="6" t="s">
        <v>34</v>
      </c>
      <c r="C29" s="6" t="s">
        <v>49</v>
      </c>
      <c r="D29" s="6" t="s">
        <v>50</v>
      </c>
      <c r="E29" s="6" t="s">
        <v>37</v>
      </c>
      <c r="F29" s="6" t="s">
        <v>51</v>
      </c>
      <c r="G29" s="6" t="s">
        <v>31</v>
      </c>
      <c r="H29" s="7" t="n">
        <v>3</v>
      </c>
      <c r="I29" s="7" t="n">
        <v>104553</v>
      </c>
    </row>
    <row r="30" customFormat="false" ht="15" hidden="false" customHeight="false" outlineLevel="0" collapsed="false">
      <c r="A30" s="6" t="s">
        <v>42</v>
      </c>
      <c r="B30" s="6" t="s">
        <v>34</v>
      </c>
      <c r="C30" s="6" t="s">
        <v>49</v>
      </c>
      <c r="D30" s="6" t="s">
        <v>50</v>
      </c>
      <c r="E30" s="6" t="s">
        <v>29</v>
      </c>
      <c r="F30" s="6" t="s">
        <v>30</v>
      </c>
      <c r="G30" s="6" t="s">
        <v>31</v>
      </c>
      <c r="H30" s="7" t="n">
        <v>7</v>
      </c>
      <c r="I30" s="7" t="n">
        <v>7062</v>
      </c>
    </row>
    <row r="31" customFormat="false" ht="15" hidden="false" customHeight="false" outlineLevel="0" collapsed="false">
      <c r="A31" s="6" t="s">
        <v>42</v>
      </c>
      <c r="B31" s="6" t="s">
        <v>34</v>
      </c>
      <c r="C31" s="6" t="s">
        <v>49</v>
      </c>
      <c r="D31" s="6" t="s">
        <v>50</v>
      </c>
      <c r="E31" s="6" t="s">
        <v>52</v>
      </c>
      <c r="F31" s="6" t="s">
        <v>53</v>
      </c>
      <c r="G31" s="6" t="s">
        <v>31</v>
      </c>
      <c r="H31" s="7" t="n">
        <v>3</v>
      </c>
      <c r="I31" s="7" t="n">
        <v>1335</v>
      </c>
    </row>
    <row r="32" customFormat="false" ht="15" hidden="false" customHeight="false" outlineLevel="0" collapsed="false">
      <c r="A32" s="6" t="s">
        <v>54</v>
      </c>
      <c r="B32" s="6" t="s">
        <v>26</v>
      </c>
      <c r="C32" s="6" t="s">
        <v>55</v>
      </c>
      <c r="D32" s="6" t="s">
        <v>56</v>
      </c>
      <c r="E32" s="6" t="s">
        <v>37</v>
      </c>
      <c r="F32" s="6" t="s">
        <v>57</v>
      </c>
      <c r="G32" s="6" t="s">
        <v>31</v>
      </c>
      <c r="H32" s="7" t="n">
        <v>1</v>
      </c>
      <c r="I32" s="7" t="n">
        <v>328047</v>
      </c>
    </row>
    <row r="33" customFormat="false" ht="15" hidden="false" customHeight="false" outlineLevel="0" collapsed="false">
      <c r="A33" s="6" t="s">
        <v>54</v>
      </c>
      <c r="B33" s="6" t="s">
        <v>26</v>
      </c>
      <c r="C33" s="6" t="s">
        <v>55</v>
      </c>
      <c r="D33" s="6" t="s">
        <v>56</v>
      </c>
      <c r="E33" s="6" t="s">
        <v>29</v>
      </c>
      <c r="F33" s="6" t="s">
        <v>30</v>
      </c>
      <c r="G33" s="6" t="s">
        <v>31</v>
      </c>
      <c r="H33" s="7" t="n">
        <v>1</v>
      </c>
      <c r="I33" s="7" t="n">
        <v>40353</v>
      </c>
    </row>
    <row r="34" customFormat="false" ht="15" hidden="false" customHeight="false" outlineLevel="0" collapsed="false">
      <c r="A34" s="6" t="s">
        <v>54</v>
      </c>
      <c r="B34" s="6" t="s">
        <v>26</v>
      </c>
      <c r="C34" s="6" t="s">
        <v>58</v>
      </c>
      <c r="D34" s="6" t="s">
        <v>59</v>
      </c>
      <c r="E34" s="6" t="s">
        <v>37</v>
      </c>
      <c r="F34" s="6" t="s">
        <v>60</v>
      </c>
      <c r="G34" s="6" t="s">
        <v>41</v>
      </c>
      <c r="H34" s="7" t="n">
        <v>1</v>
      </c>
      <c r="I34" s="7" t="n">
        <v>269820</v>
      </c>
    </row>
    <row r="35" customFormat="false" ht="15" hidden="false" customHeight="false" outlineLevel="0" collapsed="false">
      <c r="A35" s="6" t="s">
        <v>54</v>
      </c>
      <c r="B35" s="6" t="s">
        <v>34</v>
      </c>
      <c r="C35" s="6" t="s">
        <v>61</v>
      </c>
      <c r="D35" s="6" t="s">
        <v>62</v>
      </c>
      <c r="E35" s="6" t="s">
        <v>37</v>
      </c>
      <c r="F35" s="6" t="s">
        <v>51</v>
      </c>
      <c r="G35" s="6" t="s">
        <v>31</v>
      </c>
      <c r="H35" s="7" t="n">
        <v>7</v>
      </c>
      <c r="I35" s="7" t="n">
        <v>69404</v>
      </c>
    </row>
    <row r="36" customFormat="false" ht="15" hidden="false" customHeight="false" outlineLevel="0" collapsed="false">
      <c r="A36" s="6" t="s">
        <v>54</v>
      </c>
      <c r="B36" s="6" t="s">
        <v>34</v>
      </c>
      <c r="C36" s="6" t="s">
        <v>61</v>
      </c>
      <c r="D36" s="6" t="s">
        <v>62</v>
      </c>
      <c r="E36" s="6" t="s">
        <v>29</v>
      </c>
      <c r="F36" s="6" t="s">
        <v>30</v>
      </c>
      <c r="G36" s="6" t="s">
        <v>31</v>
      </c>
      <c r="H36" s="7" t="n">
        <v>5</v>
      </c>
      <c r="I36" s="7" t="n">
        <v>14841</v>
      </c>
    </row>
    <row r="37" customFormat="false" ht="15" hidden="false" customHeight="false" outlineLevel="0" collapsed="false">
      <c r="A37" s="6" t="s">
        <v>63</v>
      </c>
      <c r="B37" s="6" t="s">
        <v>26</v>
      </c>
      <c r="C37" s="6" t="s">
        <v>64</v>
      </c>
      <c r="D37" s="6" t="s">
        <v>65</v>
      </c>
      <c r="E37" s="6" t="s">
        <v>29</v>
      </c>
      <c r="F37" s="6" t="s">
        <v>45</v>
      </c>
      <c r="G37" s="6" t="s">
        <v>48</v>
      </c>
      <c r="H37" s="7" t="n">
        <v>1</v>
      </c>
      <c r="I37" s="7" t="n">
        <v>17579</v>
      </c>
    </row>
    <row r="38" customFormat="false" ht="15" hidden="false" customHeight="false" outlineLevel="0" collapsed="false">
      <c r="A38" s="6" t="s">
        <v>63</v>
      </c>
      <c r="B38" s="6" t="s">
        <v>26</v>
      </c>
      <c r="C38" s="6" t="s">
        <v>66</v>
      </c>
      <c r="D38" s="6" t="s">
        <v>67</v>
      </c>
      <c r="E38" s="6" t="s">
        <v>37</v>
      </c>
      <c r="F38" s="6" t="s">
        <v>33</v>
      </c>
      <c r="G38" s="6" t="s">
        <v>48</v>
      </c>
      <c r="H38" s="7" t="n">
        <v>2</v>
      </c>
      <c r="I38" s="7" t="n">
        <v>63966</v>
      </c>
    </row>
    <row r="39" customFormat="false" ht="15" hidden="false" customHeight="false" outlineLevel="0" collapsed="false">
      <c r="A39" s="6" t="s">
        <v>63</v>
      </c>
      <c r="B39" s="6" t="s">
        <v>26</v>
      </c>
      <c r="C39" s="6" t="s">
        <v>66</v>
      </c>
      <c r="D39" s="6" t="s">
        <v>67</v>
      </c>
      <c r="E39" s="6" t="s">
        <v>52</v>
      </c>
      <c r="F39" s="6" t="s">
        <v>33</v>
      </c>
      <c r="G39" s="6" t="s">
        <v>33</v>
      </c>
      <c r="H39" s="7" t="n">
        <v>2</v>
      </c>
      <c r="I39" s="7" t="n">
        <v>60302</v>
      </c>
    </row>
    <row r="40" customFormat="false" ht="15" hidden="false" customHeight="false" outlineLevel="0" collapsed="false">
      <c r="A40" s="6" t="s">
        <v>63</v>
      </c>
      <c r="B40" s="6" t="s">
        <v>26</v>
      </c>
      <c r="C40" s="6" t="s">
        <v>68</v>
      </c>
      <c r="D40" s="6" t="s">
        <v>69</v>
      </c>
      <c r="E40" s="6" t="s">
        <v>37</v>
      </c>
      <c r="F40" s="6" t="s">
        <v>51</v>
      </c>
      <c r="G40" s="6" t="s">
        <v>38</v>
      </c>
      <c r="H40" s="7" t="n">
        <v>1</v>
      </c>
      <c r="I40" s="7" t="n">
        <v>1011</v>
      </c>
    </row>
    <row r="41" customFormat="false" ht="15" hidden="false" customHeight="false" outlineLevel="0" collapsed="false">
      <c r="A41" s="6" t="s">
        <v>63</v>
      </c>
      <c r="B41" s="6" t="s">
        <v>26</v>
      </c>
      <c r="C41" s="6" t="s">
        <v>68</v>
      </c>
      <c r="D41" s="6" t="s">
        <v>69</v>
      </c>
      <c r="E41" s="6" t="s">
        <v>52</v>
      </c>
      <c r="F41" s="6" t="s">
        <v>51</v>
      </c>
      <c r="G41" s="6" t="s">
        <v>51</v>
      </c>
      <c r="H41" s="7" t="n">
        <v>1</v>
      </c>
      <c r="I41" s="7" t="n">
        <v>611</v>
      </c>
    </row>
    <row r="42" customFormat="false" ht="15" hidden="false" customHeight="false" outlineLevel="0" collapsed="false">
      <c r="A42" s="6" t="s">
        <v>63</v>
      </c>
      <c r="B42" s="6" t="s">
        <v>26</v>
      </c>
      <c r="C42" s="6" t="s">
        <v>70</v>
      </c>
      <c r="D42" s="6" t="s">
        <v>71</v>
      </c>
      <c r="E42" s="6" t="s">
        <v>37</v>
      </c>
      <c r="F42" s="6" t="s">
        <v>51</v>
      </c>
      <c r="G42" s="6" t="s">
        <v>38</v>
      </c>
      <c r="H42" s="7" t="n">
        <v>1</v>
      </c>
      <c r="I42" s="7" t="n">
        <v>730</v>
      </c>
    </row>
    <row r="43" customFormat="false" ht="15" hidden="false" customHeight="false" outlineLevel="0" collapsed="false">
      <c r="A43" s="6" t="s">
        <v>63</v>
      </c>
      <c r="B43" s="6" t="s">
        <v>26</v>
      </c>
      <c r="C43" s="6" t="s">
        <v>70</v>
      </c>
      <c r="D43" s="6" t="s">
        <v>71</v>
      </c>
      <c r="E43" s="6" t="s">
        <v>52</v>
      </c>
      <c r="F43" s="6" t="s">
        <v>51</v>
      </c>
      <c r="G43" s="6" t="s">
        <v>51</v>
      </c>
      <c r="H43" s="7" t="n">
        <v>1</v>
      </c>
      <c r="I43" s="7" t="n">
        <v>446</v>
      </c>
    </row>
    <row r="44" customFormat="false" ht="15" hidden="false" customHeight="false" outlineLevel="0" collapsed="false">
      <c r="A44" s="6" t="s">
        <v>63</v>
      </c>
      <c r="B44" s="6" t="s">
        <v>26</v>
      </c>
      <c r="C44" s="6" t="s">
        <v>72</v>
      </c>
      <c r="D44" s="6" t="s">
        <v>73</v>
      </c>
      <c r="E44" s="6" t="s">
        <v>37</v>
      </c>
      <c r="F44" s="6" t="s">
        <v>51</v>
      </c>
      <c r="G44" s="6" t="s">
        <v>51</v>
      </c>
      <c r="H44" s="7" t="n">
        <v>1</v>
      </c>
      <c r="I44" s="7" t="n">
        <v>199</v>
      </c>
    </row>
    <row r="45" customFormat="false" ht="15" hidden="false" customHeight="false" outlineLevel="0" collapsed="false">
      <c r="A45" s="6" t="s">
        <v>63</v>
      </c>
      <c r="B45" s="6" t="s">
        <v>26</v>
      </c>
      <c r="C45" s="6" t="s">
        <v>72</v>
      </c>
      <c r="D45" s="6" t="s">
        <v>73</v>
      </c>
      <c r="E45" s="6" t="s">
        <v>52</v>
      </c>
      <c r="F45" s="6" t="s">
        <v>51</v>
      </c>
      <c r="G45" s="6" t="s">
        <v>51</v>
      </c>
      <c r="H45" s="7" t="n">
        <v>1</v>
      </c>
      <c r="I45" s="7" t="n">
        <v>84</v>
      </c>
    </row>
    <row r="46" customFormat="false" ht="15" hidden="false" customHeight="false" outlineLevel="0" collapsed="false">
      <c r="A46" s="6" t="s">
        <v>63</v>
      </c>
      <c r="B46" s="6" t="s">
        <v>34</v>
      </c>
      <c r="C46" s="6" t="s">
        <v>74</v>
      </c>
      <c r="D46" s="6" t="s">
        <v>75</v>
      </c>
      <c r="E46" s="6" t="s">
        <v>29</v>
      </c>
      <c r="F46" s="6" t="s">
        <v>48</v>
      </c>
      <c r="G46" s="6" t="s">
        <v>31</v>
      </c>
      <c r="H46" s="7" t="n">
        <v>1</v>
      </c>
      <c r="I46" s="7" t="n">
        <v>1186</v>
      </c>
    </row>
    <row r="47" customFormat="false" ht="15" hidden="false" customHeight="false" outlineLevel="0" collapsed="false">
      <c r="A47" s="6" t="s">
        <v>63</v>
      </c>
      <c r="B47" s="6" t="s">
        <v>34</v>
      </c>
      <c r="C47" s="6" t="s">
        <v>76</v>
      </c>
      <c r="D47" s="6" t="s">
        <v>77</v>
      </c>
      <c r="E47" s="6" t="s">
        <v>29</v>
      </c>
      <c r="F47" s="6" t="s">
        <v>48</v>
      </c>
      <c r="G47" s="6" t="s">
        <v>48</v>
      </c>
      <c r="H47" s="7" t="n">
        <v>1</v>
      </c>
      <c r="I47" s="7" t="n">
        <v>16</v>
      </c>
    </row>
    <row r="49" customFormat="false" ht="15" hidden="false" customHeight="false" outlineLevel="0" collapsed="false">
      <c r="A49" s="3" t="s">
        <v>78</v>
      </c>
    </row>
    <row r="50" customFormat="false" ht="27.75" hidden="false" customHeight="true" outlineLevel="0" collapsed="false">
      <c r="A50" s="5" t="s">
        <v>79</v>
      </c>
      <c r="B50" s="5" t="s">
        <v>80</v>
      </c>
    </row>
    <row r="51" customFormat="false" ht="15" hidden="false" customHeight="false" outlineLevel="0" collapsed="false">
      <c r="A51" s="6" t="s">
        <v>81</v>
      </c>
      <c r="B51" s="8" t="s">
        <v>82</v>
      </c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6" t="s">
        <v>83</v>
      </c>
      <c r="B52" s="8" t="s">
        <v>82</v>
      </c>
      <c r="C52" s="8"/>
      <c r="D52" s="8"/>
      <c r="E52" s="8"/>
      <c r="F52" s="8"/>
      <c r="G52" s="8"/>
      <c r="H52" s="8"/>
      <c r="I52" s="8"/>
    </row>
    <row r="53" customFormat="false" ht="15" hidden="false" customHeight="false" outlineLevel="0" collapsed="false">
      <c r="A53" s="6" t="s">
        <v>84</v>
      </c>
      <c r="B53" s="8" t="s">
        <v>85</v>
      </c>
      <c r="C53" s="8"/>
      <c r="D53" s="8"/>
      <c r="E53" s="8"/>
      <c r="F53" s="8"/>
      <c r="G53" s="8"/>
      <c r="H53" s="8"/>
      <c r="I53" s="8"/>
    </row>
    <row r="54" customFormat="false" ht="15" hidden="false" customHeight="false" outlineLevel="0" collapsed="false">
      <c r="A54" s="6" t="s">
        <v>86</v>
      </c>
      <c r="B54" s="8" t="s">
        <v>87</v>
      </c>
      <c r="C54" s="8"/>
      <c r="D54" s="8"/>
      <c r="E54" s="8"/>
      <c r="F54" s="8"/>
      <c r="G54" s="8"/>
      <c r="H54" s="8"/>
      <c r="I54" s="8"/>
    </row>
    <row r="55" customFormat="false" ht="15" hidden="false" customHeight="false" outlineLevel="0" collapsed="false">
      <c r="A55" s="6" t="s">
        <v>88</v>
      </c>
      <c r="B55" s="8" t="s">
        <v>89</v>
      </c>
      <c r="C55" s="8"/>
      <c r="D55" s="8"/>
      <c r="E55" s="8"/>
      <c r="F55" s="8"/>
      <c r="G55" s="8"/>
      <c r="H55" s="8"/>
      <c r="I55" s="8"/>
    </row>
    <row r="56" customFormat="false" ht="15" hidden="false" customHeight="false" outlineLevel="0" collapsed="false">
      <c r="A56" s="6" t="s">
        <v>90</v>
      </c>
      <c r="B56" s="8" t="s">
        <v>91</v>
      </c>
      <c r="C56" s="8"/>
      <c r="D56" s="8"/>
      <c r="E56" s="8"/>
      <c r="F56" s="8"/>
      <c r="G56" s="8"/>
      <c r="H56" s="8"/>
      <c r="I56" s="8"/>
    </row>
    <row r="57" customFormat="false" ht="15" hidden="false" customHeight="false" outlineLevel="0" collapsed="false">
      <c r="A57" s="6" t="s">
        <v>92</v>
      </c>
      <c r="B57" s="8" t="s">
        <v>93</v>
      </c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6" t="s">
        <v>94</v>
      </c>
      <c r="B58" s="8" t="s">
        <v>95</v>
      </c>
      <c r="C58" s="8"/>
      <c r="D58" s="8"/>
      <c r="E58" s="8"/>
      <c r="F58" s="8"/>
      <c r="G58" s="8"/>
      <c r="H58" s="8"/>
      <c r="I58" s="8"/>
    </row>
    <row r="59" customFormat="false" ht="15" hidden="false" customHeight="false" outlineLevel="0" collapsed="false">
      <c r="A59" s="6" t="s">
        <v>96</v>
      </c>
      <c r="B59" s="8" t="s">
        <v>97</v>
      </c>
      <c r="C59" s="8"/>
      <c r="D59" s="8"/>
      <c r="E59" s="8"/>
      <c r="F59" s="8"/>
      <c r="G59" s="8"/>
      <c r="H59" s="8"/>
      <c r="I59" s="8"/>
    </row>
    <row r="60" customFormat="false" ht="15" hidden="false" customHeight="false" outlineLevel="0" collapsed="false">
      <c r="A60" s="6" t="s">
        <v>98</v>
      </c>
      <c r="B60" s="8" t="s">
        <v>99</v>
      </c>
      <c r="C60" s="8"/>
      <c r="D60" s="8"/>
      <c r="E60" s="8"/>
      <c r="F60" s="8"/>
      <c r="G60" s="8"/>
      <c r="H60" s="8"/>
      <c r="I60" s="8"/>
    </row>
    <row r="62" customFormat="false" ht="15" hidden="false" customHeight="false" outlineLevel="0" collapsed="false">
      <c r="A62" s="3" t="s">
        <v>100</v>
      </c>
    </row>
    <row r="63" customFormat="false" ht="15" hidden="false" customHeight="false" outlineLevel="0" collapsed="false">
      <c r="A63" s="6" t="s">
        <v>101</v>
      </c>
    </row>
    <row r="64" customFormat="false" ht="15" hidden="false" customHeight="false" outlineLevel="0" collapsed="false">
      <c r="A64" s="6" t="s">
        <v>102</v>
      </c>
    </row>
    <row r="65" customFormat="false" ht="15" hidden="false" customHeight="false" outlineLevel="0" collapsed="false">
      <c r="A65" s="6" t="s">
        <v>103</v>
      </c>
    </row>
    <row r="66" customFormat="false" ht="15" hidden="false" customHeight="false" outlineLevel="0" collapsed="false">
      <c r="A66" s="6" t="s">
        <v>104</v>
      </c>
    </row>
  </sheetData>
  <mergeCells count="22"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60:I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  <col collapsed="false" customWidth="true" hidden="false" outlineLevel="0" max="11" min="10" style="0" width="10"/>
    <col collapsed="false" customWidth="true" hidden="false" outlineLevel="0" max="12" min="12" style="0" width="48"/>
    <col collapsed="false" customWidth="true" hidden="false" outlineLevel="0" max="13" min="13" style="0" width="78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Format="false" ht="15" hidden="false" customHeight="false" outlineLevel="0" collapsed="false">
      <c r="A6" s="3" t="s">
        <v>107</v>
      </c>
    </row>
    <row r="7" customFormat="false" ht="15" hidden="false" customHeight="false" outlineLevel="0" collapsed="false">
      <c r="A7" s="2" t="s">
        <v>108</v>
      </c>
    </row>
    <row r="9" customFormat="false" ht="15" hidden="false" customHeight="false" outlineLevel="0" collapsed="false">
      <c r="A9" s="11" t="s">
        <v>109</v>
      </c>
      <c r="B9" s="12"/>
      <c r="C9" s="12"/>
      <c r="D9" s="12"/>
      <c r="E9" s="12"/>
      <c r="F9" s="12"/>
      <c r="G9" s="12"/>
      <c r="H9" s="12"/>
      <c r="I9" s="12"/>
    </row>
    <row r="10" customFormat="false" ht="27.75" hidden="false" customHeight="true" outlineLevel="0" collapsed="false">
      <c r="A10" s="5" t="s">
        <v>110</v>
      </c>
      <c r="B10" s="5" t="s">
        <v>111</v>
      </c>
      <c r="C10" s="5" t="s">
        <v>112</v>
      </c>
      <c r="D10" s="5" t="s">
        <v>113</v>
      </c>
      <c r="E10" s="5" t="s">
        <v>114</v>
      </c>
      <c r="F10" s="5" t="s">
        <v>115</v>
      </c>
      <c r="G10" s="5" t="s">
        <v>116</v>
      </c>
      <c r="H10" s="5" t="s">
        <v>117</v>
      </c>
      <c r="I10" s="5" t="s">
        <v>118</v>
      </c>
    </row>
    <row r="11" customFormat="false" ht="15" hidden="false" customHeight="false" outlineLevel="0" collapsed="false">
      <c r="A11" s="13" t="s">
        <v>30</v>
      </c>
      <c r="B11" s="7" t="n">
        <v>579</v>
      </c>
      <c r="C11" s="7" t="n">
        <v>560</v>
      </c>
      <c r="D11" s="7" t="n">
        <v>149</v>
      </c>
      <c r="E11" s="7" t="n">
        <v>4</v>
      </c>
      <c r="F11" s="14" t="n">
        <f aca="false">IFERROR(C11/B11,0)</f>
        <v>0.967184801381693</v>
      </c>
      <c r="G11" s="14" t="n">
        <f aca="false">IFERROR(D11/C11,0)</f>
        <v>0.266071428571429</v>
      </c>
      <c r="H11" s="14" t="n">
        <f aca="false">IFERROR(E11/C11,0)</f>
        <v>0.00714285714285714</v>
      </c>
      <c r="I11" s="14" t="n">
        <f aca="false">IFERROR(E11/D11,0)</f>
        <v>0.0268456375838926</v>
      </c>
    </row>
    <row r="12" customFormat="false" ht="15" hidden="false" customHeight="false" outlineLevel="0" collapsed="false">
      <c r="A12" s="13" t="s">
        <v>119</v>
      </c>
      <c r="B12" s="7" t="n">
        <v>1054</v>
      </c>
      <c r="C12" s="7" t="n">
        <v>1035</v>
      </c>
      <c r="D12" s="7" t="n">
        <v>249</v>
      </c>
      <c r="E12" s="7" t="n">
        <v>9</v>
      </c>
      <c r="F12" s="14" t="n">
        <f aca="false">IFERROR(C12/B12,0)</f>
        <v>0.981973434535104</v>
      </c>
      <c r="G12" s="14" t="n">
        <f aca="false">IFERROR(D12/C12,0)</f>
        <v>0.240579710144928</v>
      </c>
      <c r="H12" s="14" t="n">
        <f aca="false">IFERROR(E12/C12,0)</f>
        <v>0.00869565217391304</v>
      </c>
      <c r="I12" s="14" t="n">
        <f aca="false">IFERROR(E12/D12,0)</f>
        <v>0.036144578313253</v>
      </c>
    </row>
    <row r="13" customFormat="false" ht="15" hidden="false" customHeight="false" outlineLevel="0" collapsed="false">
      <c r="A13" s="13" t="s">
        <v>45</v>
      </c>
      <c r="B13" s="7" t="n">
        <v>274</v>
      </c>
      <c r="C13" s="7" t="n">
        <v>272</v>
      </c>
      <c r="D13" s="7" t="n">
        <v>35</v>
      </c>
      <c r="E13" s="7" t="n">
        <v>0</v>
      </c>
      <c r="F13" s="14" t="n">
        <f aca="false">IFERROR(C13/B13,0)</f>
        <v>0.992700729927007</v>
      </c>
      <c r="G13" s="14" t="n">
        <f aca="false">IFERROR(D13/C13,0)</f>
        <v>0.128676470588235</v>
      </c>
      <c r="H13" s="14" t="n">
        <f aca="false">IFERROR(E13/C13,0)</f>
        <v>0</v>
      </c>
      <c r="I13" s="14" t="n">
        <f aca="false">IFERROR(E13/D13,0)</f>
        <v>0</v>
      </c>
    </row>
    <row r="14" customFormat="false" ht="15" hidden="false" customHeight="false" outlineLevel="0" collapsed="false">
      <c r="A14" s="13" t="s">
        <v>60</v>
      </c>
      <c r="B14" s="7" t="n">
        <v>8963</v>
      </c>
      <c r="C14" s="7" t="n">
        <v>8823</v>
      </c>
      <c r="D14" s="7" t="n">
        <v>1847</v>
      </c>
      <c r="E14" s="7" t="n">
        <v>59</v>
      </c>
      <c r="F14" s="14" t="n">
        <f aca="false">IFERROR(C14/B14,0)</f>
        <v>0.984380229833761</v>
      </c>
      <c r="G14" s="14" t="n">
        <f aca="false">IFERROR(D14/C14,0)</f>
        <v>0.209339227020288</v>
      </c>
      <c r="H14" s="14" t="n">
        <f aca="false">IFERROR(E14/C14,0)</f>
        <v>0.00668706789074011</v>
      </c>
      <c r="I14" s="14" t="n">
        <f aca="false">IFERROR(E14/D14,0)</f>
        <v>0.0319436924742826</v>
      </c>
    </row>
    <row r="15" customFormat="false" ht="15" hidden="false" customHeight="false" outlineLevel="0" collapsed="false">
      <c r="A15" s="13" t="s">
        <v>41</v>
      </c>
      <c r="B15" s="7" t="n">
        <v>19854</v>
      </c>
      <c r="C15" s="7" t="n">
        <v>19578</v>
      </c>
      <c r="D15" s="7" t="n">
        <v>3635</v>
      </c>
      <c r="E15" s="7" t="n">
        <v>163</v>
      </c>
      <c r="F15" s="14" t="n">
        <f aca="false">IFERROR(C15/B15,0)</f>
        <v>0.986098519190088</v>
      </c>
      <c r="G15" s="14" t="n">
        <f aca="false">IFERROR(D15/C15,0)</f>
        <v>0.185667586065992</v>
      </c>
      <c r="H15" s="14" t="n">
        <f aca="false">IFERROR(E15/C15,0)</f>
        <v>0.00832567167228522</v>
      </c>
      <c r="I15" s="14" t="n">
        <f aca="false">IFERROR(E15/D15,0)</f>
        <v>0.0448418156808803</v>
      </c>
    </row>
    <row r="16" customFormat="false" ht="15" hidden="false" customHeight="false" outlineLevel="0" collapsed="false">
      <c r="A16" s="13" t="s">
        <v>33</v>
      </c>
      <c r="B16" s="7" t="n">
        <v>21308</v>
      </c>
      <c r="C16" s="7" t="n">
        <v>21004</v>
      </c>
      <c r="D16" s="7" t="n">
        <v>3325</v>
      </c>
      <c r="E16" s="7" t="n">
        <v>258</v>
      </c>
      <c r="F16" s="14" t="n">
        <f aca="false">IFERROR(C16/B16,0)</f>
        <v>0.985733058006383</v>
      </c>
      <c r="G16" s="14" t="n">
        <f aca="false">IFERROR(D16/C16,0)</f>
        <v>0.158303180346601</v>
      </c>
      <c r="H16" s="14" t="n">
        <f aca="false">IFERROR(E16/C16,0)</f>
        <v>0.0122833745953152</v>
      </c>
      <c r="I16" s="14" t="n">
        <f aca="false">IFERROR(E16/D16,0)</f>
        <v>0.077593984962406</v>
      </c>
    </row>
    <row r="17" customFormat="false" ht="15" hidden="false" customHeight="false" outlineLevel="0" collapsed="false">
      <c r="A17" s="13" t="s">
        <v>48</v>
      </c>
      <c r="B17" s="7" t="n">
        <v>17666</v>
      </c>
      <c r="C17" s="7" t="n">
        <v>17420</v>
      </c>
      <c r="D17" s="7" t="n">
        <v>2990</v>
      </c>
      <c r="E17" s="7" t="n">
        <v>239</v>
      </c>
      <c r="F17" s="14" t="n">
        <f aca="false">IFERROR(C17/B17,0)</f>
        <v>0.986074946224386</v>
      </c>
      <c r="G17" s="14" t="n">
        <f aca="false">IFERROR(D17/C17,0)</f>
        <v>0.171641791044776</v>
      </c>
      <c r="H17" s="14" t="n">
        <f aca="false">IFERROR(E17/C17,0)</f>
        <v>0.0137198622273249</v>
      </c>
      <c r="I17" s="14" t="n">
        <f aca="false">IFERROR(E17/D17,0)</f>
        <v>0.079933110367893</v>
      </c>
    </row>
    <row r="18" customFormat="false" ht="15" hidden="false" customHeight="false" outlineLevel="0" collapsed="false">
      <c r="A18" s="13" t="s">
        <v>31</v>
      </c>
      <c r="B18" s="7" t="n">
        <v>10254</v>
      </c>
      <c r="C18" s="7" t="n">
        <v>10093</v>
      </c>
      <c r="D18" s="7" t="n">
        <v>1710</v>
      </c>
      <c r="E18" s="7" t="n">
        <v>111</v>
      </c>
      <c r="F18" s="14" t="n">
        <f aca="false">IFERROR(C18/B18,0)</f>
        <v>0.984298810220402</v>
      </c>
      <c r="G18" s="14" t="n">
        <f aca="false">IFERROR(D18/C18,0)</f>
        <v>0.169424353512335</v>
      </c>
      <c r="H18" s="14" t="n">
        <f aca="false">IFERROR(E18/C18,0)</f>
        <v>0.010997721192906</v>
      </c>
      <c r="I18" s="14" t="n">
        <f aca="false">IFERROR(E18/D18,0)</f>
        <v>0.0649122807017544</v>
      </c>
    </row>
    <row r="19" customFormat="false" ht="15" hidden="false" customHeight="false" outlineLevel="0" collapsed="false">
      <c r="A19" s="15" t="s">
        <v>120</v>
      </c>
      <c r="B19" s="16" t="n">
        <f aca="false">SUM(B11:B18)</f>
        <v>79952</v>
      </c>
      <c r="C19" s="16" t="n">
        <f aca="false">SUM(C11:C18)</f>
        <v>78785</v>
      </c>
      <c r="D19" s="16" t="n">
        <f aca="false">SUM(D11:D18)</f>
        <v>13940</v>
      </c>
      <c r="E19" s="16" t="n">
        <f aca="false">SUM(E11:E18)</f>
        <v>843</v>
      </c>
      <c r="F19" s="17" t="n">
        <f aca="false">IFERROR(C19/B19,0)</f>
        <v>0.985403742245347</v>
      </c>
      <c r="G19" s="17" t="n">
        <f aca="false">IFERROR(D19/C19,0)</f>
        <v>0.176937234245097</v>
      </c>
      <c r="H19" s="17" t="n">
        <f aca="false">IFERROR(E19/C19,0)</f>
        <v>0.0107000063463857</v>
      </c>
      <c r="I19" s="17" t="n">
        <f aca="false">IFERROR(E19/D19,0)</f>
        <v>0.0604734576757532</v>
      </c>
    </row>
    <row r="21" customFormat="false" ht="15" hidden="false" customHeight="false" outlineLevel="0" collapsed="false">
      <c r="A21" s="11" t="s">
        <v>121</v>
      </c>
      <c r="B21" s="12"/>
      <c r="C21" s="12"/>
      <c r="D21" s="12"/>
      <c r="E21" s="12"/>
      <c r="F21" s="12"/>
      <c r="G21" s="12"/>
      <c r="H21" s="12"/>
    </row>
    <row r="22" customFormat="false" ht="27.75" hidden="false" customHeight="true" outlineLevel="0" collapsed="false">
      <c r="A22" s="5" t="s">
        <v>110</v>
      </c>
      <c r="B22" s="5" t="s">
        <v>111</v>
      </c>
      <c r="C22" s="5" t="s">
        <v>122</v>
      </c>
      <c r="D22" s="5" t="s">
        <v>123</v>
      </c>
      <c r="E22" s="5" t="s">
        <v>124</v>
      </c>
      <c r="F22" s="5" t="s">
        <v>125</v>
      </c>
      <c r="G22" s="5" t="s">
        <v>126</v>
      </c>
      <c r="H22" s="5" t="s">
        <v>127</v>
      </c>
    </row>
    <row r="23" customFormat="false" ht="15" hidden="false" customHeight="false" outlineLevel="0" collapsed="false">
      <c r="A23" s="13" t="s">
        <v>33</v>
      </c>
      <c r="B23" s="7" t="n">
        <v>11704</v>
      </c>
      <c r="C23" s="7" t="n">
        <v>11314</v>
      </c>
      <c r="D23" s="7" t="n">
        <v>390</v>
      </c>
      <c r="E23" s="7" t="n">
        <v>6</v>
      </c>
      <c r="F23" s="14" t="n">
        <f aca="false">IFERROR(C23/B23,0)</f>
        <v>0.966678058783322</v>
      </c>
      <c r="G23" s="14" t="n">
        <f aca="false">IFERROR(D23/B23,0)</f>
        <v>0.0333219412166781</v>
      </c>
      <c r="H23" s="14" t="n">
        <f aca="false">IFERROR(E23/B23,0)</f>
        <v>0.000512645249487355</v>
      </c>
    </row>
    <row r="24" customFormat="false" ht="15" hidden="false" customHeight="false" outlineLevel="0" collapsed="false">
      <c r="A24" s="13" t="s">
        <v>48</v>
      </c>
      <c r="B24" s="7" t="n">
        <v>11992</v>
      </c>
      <c r="C24" s="7" t="n">
        <v>10787</v>
      </c>
      <c r="D24" s="7" t="n">
        <v>1205</v>
      </c>
      <c r="E24" s="7" t="n">
        <v>17</v>
      </c>
      <c r="F24" s="14" t="n">
        <f aca="false">IFERROR(C24/B24,0)</f>
        <v>0.899516344229486</v>
      </c>
      <c r="G24" s="14" t="n">
        <f aca="false">IFERROR(D24/B24,0)</f>
        <v>0.100483655770514</v>
      </c>
      <c r="H24" s="14" t="n">
        <f aca="false">IFERROR(E24/B24,0)</f>
        <v>0.00141761174116077</v>
      </c>
    </row>
    <row r="25" customFormat="false" ht="15" hidden="false" customHeight="false" outlineLevel="0" collapsed="false">
      <c r="A25" s="13" t="s">
        <v>31</v>
      </c>
      <c r="B25" s="7" t="n">
        <v>8508</v>
      </c>
      <c r="C25" s="7" t="n">
        <v>7551</v>
      </c>
      <c r="D25" s="7" t="n">
        <v>957</v>
      </c>
      <c r="E25" s="7" t="n">
        <v>12</v>
      </c>
      <c r="F25" s="14" t="n">
        <f aca="false">IFERROR(C25/B25,0)</f>
        <v>0.887517630465444</v>
      </c>
      <c r="G25" s="14" t="n">
        <f aca="false">IFERROR(D25/B25,0)</f>
        <v>0.112482369534556</v>
      </c>
      <c r="H25" s="14" t="n">
        <f aca="false">IFERROR(E25/B25,0)</f>
        <v>0.00141043723554302</v>
      </c>
    </row>
    <row r="26" customFormat="false" ht="15" hidden="false" customHeight="false" outlineLevel="0" collapsed="false">
      <c r="A26" s="15" t="s">
        <v>120</v>
      </c>
      <c r="B26" s="16" t="n">
        <f aca="false">SUM(B23:B25)</f>
        <v>32204</v>
      </c>
      <c r="C26" s="16" t="n">
        <f aca="false">SUM(C23:C25)</f>
        <v>29652</v>
      </c>
      <c r="D26" s="16" t="n">
        <f aca="false">SUM(D23:D25)</f>
        <v>2552</v>
      </c>
      <c r="E26" s="16" t="n">
        <f aca="false">SUM(E23:E25)</f>
        <v>35</v>
      </c>
      <c r="F26" s="17" t="n">
        <f aca="false">IFERROR(C26/B26,0)</f>
        <v>0.920755185691219</v>
      </c>
      <c r="G26" s="17" t="n">
        <f aca="false">IFERROR(D26/B26,0)</f>
        <v>0.0792448143087815</v>
      </c>
      <c r="H26" s="17" t="n">
        <f aca="false">IFERROR(E26/B26,0)</f>
        <v>0.00108682151285555</v>
      </c>
    </row>
    <row r="29" customFormat="false" ht="15" hidden="false" customHeight="false" outlineLevel="0" collapsed="false">
      <c r="A29" s="18" t="s">
        <v>128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1" customFormat="false" ht="15" hidden="false" customHeight="false" outlineLevel="0" collapsed="false">
      <c r="A31" s="3" t="s">
        <v>129</v>
      </c>
    </row>
    <row r="32" customFormat="false" ht="15" hidden="false" customHeight="false" outlineLevel="0" collapsed="false">
      <c r="A32" s="2" t="s">
        <v>130</v>
      </c>
    </row>
    <row r="34" customFormat="false" ht="15" hidden="false" customHeight="false" outlineLevel="0" collapsed="false">
      <c r="A34" s="11" t="s">
        <v>131</v>
      </c>
      <c r="B34" s="12"/>
      <c r="C34" s="12"/>
      <c r="D34" s="12"/>
      <c r="E34" s="12"/>
      <c r="F34" s="12"/>
    </row>
    <row r="35" customFormat="false" ht="27.75" hidden="false" customHeight="true" outlineLevel="0" collapsed="false">
      <c r="A35" s="5" t="s">
        <v>110</v>
      </c>
      <c r="B35" s="5" t="s">
        <v>111</v>
      </c>
      <c r="C35" s="5" t="s">
        <v>112</v>
      </c>
      <c r="D35" s="5" t="s">
        <v>132</v>
      </c>
      <c r="E35" s="5" t="s">
        <v>115</v>
      </c>
      <c r="F35" s="5" t="s">
        <v>133</v>
      </c>
    </row>
    <row r="36" customFormat="false" ht="15" hidden="false" customHeight="false" outlineLevel="0" collapsed="false">
      <c r="A36" s="13" t="s">
        <v>38</v>
      </c>
      <c r="B36" s="7" t="n">
        <v>81</v>
      </c>
      <c r="C36" s="7" t="n">
        <v>72</v>
      </c>
      <c r="D36" s="7" t="n">
        <v>53</v>
      </c>
      <c r="E36" s="14" t="n">
        <f aca="false">IFERROR(C36/B36,0)</f>
        <v>0.888888888888889</v>
      </c>
      <c r="F36" s="14" t="n">
        <f aca="false">IFERROR(D36/C36,0)</f>
        <v>0.736111111111111</v>
      </c>
    </row>
    <row r="37" customFormat="false" ht="15" hidden="false" customHeight="false" outlineLevel="0" collapsed="false">
      <c r="A37" s="13" t="s">
        <v>53</v>
      </c>
      <c r="B37" s="7" t="n">
        <v>3659</v>
      </c>
      <c r="C37" s="7" t="n">
        <v>3168</v>
      </c>
      <c r="D37" s="7" t="n">
        <v>2395</v>
      </c>
      <c r="E37" s="14" t="n">
        <f aca="false">IFERROR(C37/B37,0)</f>
        <v>0.865810330691446</v>
      </c>
      <c r="F37" s="14" t="n">
        <f aca="false">IFERROR(D37/C37,0)</f>
        <v>0.755997474747475</v>
      </c>
    </row>
    <row r="38" customFormat="false" ht="15" hidden="false" customHeight="false" outlineLevel="0" collapsed="false">
      <c r="A38" s="13" t="s">
        <v>134</v>
      </c>
      <c r="B38" s="7" t="n">
        <v>15582</v>
      </c>
      <c r="C38" s="7" t="n">
        <v>13079</v>
      </c>
      <c r="D38" s="7" t="n">
        <v>10058</v>
      </c>
      <c r="E38" s="14" t="n">
        <f aca="false">IFERROR(C38/B38,0)</f>
        <v>0.839365935053267</v>
      </c>
      <c r="F38" s="14" t="n">
        <f aca="false">IFERROR(D38/C38,0)</f>
        <v>0.769019038152764</v>
      </c>
    </row>
    <row r="39" customFormat="false" ht="15" hidden="false" customHeight="false" outlineLevel="0" collapsed="false">
      <c r="A39" s="13" t="s">
        <v>135</v>
      </c>
      <c r="B39" s="7" t="n">
        <v>13683</v>
      </c>
      <c r="C39" s="7" t="n">
        <v>11925</v>
      </c>
      <c r="D39" s="7" t="n">
        <v>9169</v>
      </c>
      <c r="E39" s="14" t="n">
        <f aca="false">IFERROR(C39/B39,0)</f>
        <v>0.871519403639553</v>
      </c>
      <c r="F39" s="14" t="n">
        <f aca="false">IFERROR(D39/C39,0)</f>
        <v>0.768888888888889</v>
      </c>
    </row>
    <row r="40" customFormat="false" ht="15" hidden="false" customHeight="false" outlineLevel="0" collapsed="false">
      <c r="A40" s="13" t="s">
        <v>30</v>
      </c>
      <c r="B40" s="7" t="n">
        <v>31074</v>
      </c>
      <c r="C40" s="7" t="n">
        <v>27526</v>
      </c>
      <c r="D40" s="7" t="n">
        <v>19079</v>
      </c>
      <c r="E40" s="14" t="n">
        <f aca="false">IFERROR(C40/B40,0)</f>
        <v>0.885820943554097</v>
      </c>
      <c r="F40" s="14" t="n">
        <f aca="false">IFERROR(D40/C40,0)</f>
        <v>0.693126498583158</v>
      </c>
    </row>
    <row r="41" customFormat="false" ht="15" hidden="false" customHeight="false" outlineLevel="0" collapsed="false">
      <c r="A41" s="13" t="s">
        <v>119</v>
      </c>
      <c r="B41" s="7" t="n">
        <v>46104</v>
      </c>
      <c r="C41" s="7" t="n">
        <v>40070</v>
      </c>
      <c r="D41" s="7" t="n">
        <v>25785</v>
      </c>
      <c r="E41" s="14" t="n">
        <f aca="false">IFERROR(C41/B41,0)</f>
        <v>0.869121985077217</v>
      </c>
      <c r="F41" s="14" t="n">
        <f aca="false">IFERROR(D41/C41,0)</f>
        <v>0.643498876965311</v>
      </c>
    </row>
    <row r="42" customFormat="false" ht="15" hidden="false" customHeight="false" outlineLevel="0" collapsed="false">
      <c r="A42" s="13" t="s">
        <v>45</v>
      </c>
      <c r="B42" s="7" t="n">
        <v>63863</v>
      </c>
      <c r="C42" s="7" t="n">
        <v>52964</v>
      </c>
      <c r="D42" s="7" t="n">
        <v>33052</v>
      </c>
      <c r="E42" s="14" t="n">
        <f aca="false">IFERROR(C42/B42,0)</f>
        <v>0.82933780123076</v>
      </c>
      <c r="F42" s="14" t="n">
        <f aca="false">IFERROR(D42/C42,0)</f>
        <v>0.624046522166</v>
      </c>
    </row>
    <row r="43" customFormat="false" ht="15" hidden="false" customHeight="false" outlineLevel="0" collapsed="false">
      <c r="A43" s="13" t="s">
        <v>60</v>
      </c>
      <c r="B43" s="7" t="n">
        <v>70859</v>
      </c>
      <c r="C43" s="7" t="n">
        <v>55454</v>
      </c>
      <c r="D43" s="7" t="n">
        <v>33410</v>
      </c>
      <c r="E43" s="14" t="n">
        <f aca="false">IFERROR(C43/B43,0)</f>
        <v>0.782596423884051</v>
      </c>
      <c r="F43" s="14" t="n">
        <f aca="false">IFERROR(D43/C43,0)</f>
        <v>0.602481335881992</v>
      </c>
    </row>
    <row r="44" customFormat="false" ht="15" hidden="false" customHeight="false" outlineLevel="0" collapsed="false">
      <c r="A44" s="13" t="s">
        <v>41</v>
      </c>
      <c r="B44" s="7" t="n">
        <v>3727</v>
      </c>
      <c r="C44" s="7" t="n">
        <v>3098</v>
      </c>
      <c r="D44" s="7" t="n">
        <v>2828</v>
      </c>
      <c r="E44" s="14" t="n">
        <f aca="false">IFERROR(C44/B44,0)</f>
        <v>0.831231553528307</v>
      </c>
      <c r="F44" s="14" t="n">
        <f aca="false">IFERROR(D44/C44,0)</f>
        <v>0.912846998063267</v>
      </c>
    </row>
    <row r="45" customFormat="false" ht="15" hidden="false" customHeight="false" outlineLevel="0" collapsed="false">
      <c r="A45" s="13" t="s">
        <v>33</v>
      </c>
      <c r="B45" s="7" t="n">
        <v>14041</v>
      </c>
      <c r="C45" s="7" t="n">
        <v>12180</v>
      </c>
      <c r="D45" s="7" t="n">
        <v>7871</v>
      </c>
      <c r="E45" s="14" t="n">
        <f aca="false">IFERROR(C45/B45,0)</f>
        <v>0.867459582650808</v>
      </c>
      <c r="F45" s="14" t="n">
        <f aca="false">IFERROR(D45/C45,0)</f>
        <v>0.646223316912972</v>
      </c>
    </row>
    <row r="46" customFormat="false" ht="15" hidden="false" customHeight="false" outlineLevel="0" collapsed="false">
      <c r="A46" s="13" t="s">
        <v>48</v>
      </c>
      <c r="B46" s="7" t="n">
        <v>27473</v>
      </c>
      <c r="C46" s="7" t="n">
        <v>24444</v>
      </c>
      <c r="D46" s="7" t="n">
        <v>15333</v>
      </c>
      <c r="E46" s="14" t="n">
        <f aca="false">IFERROR(C46/B46,0)</f>
        <v>0.889746296363703</v>
      </c>
      <c r="F46" s="14" t="n">
        <f aca="false">IFERROR(D46/C46,0)</f>
        <v>0.627270495827197</v>
      </c>
    </row>
    <row r="47" customFormat="false" ht="15" hidden="false" customHeight="false" outlineLevel="0" collapsed="false">
      <c r="A47" s="13" t="s">
        <v>31</v>
      </c>
      <c r="B47" s="7" t="n">
        <v>11935</v>
      </c>
      <c r="C47" s="7" t="n">
        <v>10331</v>
      </c>
      <c r="D47" s="7" t="n">
        <v>6331</v>
      </c>
      <c r="E47" s="14" t="n">
        <f aca="false">IFERROR(C47/B47,0)</f>
        <v>0.865605362379556</v>
      </c>
      <c r="F47" s="14" t="n">
        <f aca="false">IFERROR(D47/C47,0)</f>
        <v>0.612815797115478</v>
      </c>
    </row>
    <row r="48" customFormat="false" ht="15" hidden="false" customHeight="false" outlineLevel="0" collapsed="false">
      <c r="A48" s="15" t="s">
        <v>120</v>
      </c>
      <c r="B48" s="16" t="n">
        <f aca="false">SUM(B36:B47)</f>
        <v>302081</v>
      </c>
      <c r="C48" s="16" t="n">
        <f aca="false">SUM(C36:C47)</f>
        <v>254311</v>
      </c>
      <c r="D48" s="16" t="n">
        <f aca="false">SUM(D36:D47)</f>
        <v>165364</v>
      </c>
      <c r="E48" s="17" t="n">
        <f aca="false">IFERROR(C48/B48,0)</f>
        <v>0.841863606118889</v>
      </c>
      <c r="F48" s="17" t="n">
        <f aca="false">IFERROR(D48/C48,0)</f>
        <v>0.650243206153096</v>
      </c>
    </row>
    <row r="50" customFormat="false" ht="15" hidden="false" customHeight="false" outlineLevel="0" collapsed="false">
      <c r="A50" s="11" t="s">
        <v>109</v>
      </c>
      <c r="B50" s="12"/>
      <c r="C50" s="12"/>
      <c r="D50" s="12"/>
      <c r="E50" s="12"/>
      <c r="F50" s="12"/>
      <c r="G50" s="12"/>
      <c r="H50" s="12"/>
      <c r="I50" s="12"/>
    </row>
    <row r="51" customFormat="false" ht="27.75" hidden="false" customHeight="true" outlineLevel="0" collapsed="false">
      <c r="A51" s="5" t="s">
        <v>110</v>
      </c>
      <c r="B51" s="5" t="s">
        <v>111</v>
      </c>
      <c r="C51" s="5" t="s">
        <v>112</v>
      </c>
      <c r="D51" s="5" t="s">
        <v>113</v>
      </c>
      <c r="E51" s="5" t="s">
        <v>114</v>
      </c>
      <c r="F51" s="5" t="s">
        <v>115</v>
      </c>
      <c r="G51" s="5" t="s">
        <v>116</v>
      </c>
      <c r="H51" s="5" t="s">
        <v>117</v>
      </c>
      <c r="I51" s="5" t="s">
        <v>118</v>
      </c>
    </row>
    <row r="52" customFormat="false" ht="15" hidden="false" customHeight="false" outlineLevel="0" collapsed="false">
      <c r="A52" s="13" t="s">
        <v>30</v>
      </c>
      <c r="B52" s="7" t="n">
        <v>3068</v>
      </c>
      <c r="C52" s="7" t="n">
        <v>2142</v>
      </c>
      <c r="D52" s="7" t="n">
        <v>199</v>
      </c>
      <c r="E52" s="7" t="n">
        <v>10</v>
      </c>
      <c r="F52" s="14" t="n">
        <f aca="false">IFERROR(C52/B52,0)</f>
        <v>0.698174706649283</v>
      </c>
      <c r="G52" s="14" t="n">
        <f aca="false">IFERROR(D52/C52,0)</f>
        <v>0.0929038281979459</v>
      </c>
      <c r="H52" s="14" t="n">
        <f aca="false">IFERROR(E52/C52,0)</f>
        <v>0.00466853408029879</v>
      </c>
      <c r="I52" s="14" t="n">
        <f aca="false">IFERROR(E52/D52,0)</f>
        <v>0.050251256281407</v>
      </c>
    </row>
    <row r="53" customFormat="false" ht="15" hidden="false" customHeight="false" outlineLevel="0" collapsed="false">
      <c r="A53" s="13" t="s">
        <v>119</v>
      </c>
      <c r="B53" s="7" t="n">
        <v>2724</v>
      </c>
      <c r="C53" s="7" t="n">
        <v>1815</v>
      </c>
      <c r="D53" s="7" t="n">
        <v>317</v>
      </c>
      <c r="E53" s="7" t="n">
        <v>11</v>
      </c>
      <c r="F53" s="14" t="n">
        <f aca="false">IFERROR(C53/B53,0)</f>
        <v>0.666299559471366</v>
      </c>
      <c r="G53" s="14" t="n">
        <f aca="false">IFERROR(D53/C53,0)</f>
        <v>0.17465564738292</v>
      </c>
      <c r="H53" s="14" t="n">
        <f aca="false">IFERROR(E53/C53,0)</f>
        <v>0.00606060606060606</v>
      </c>
      <c r="I53" s="14" t="n">
        <f aca="false">IFERROR(E53/D53,0)</f>
        <v>0.0347003154574133</v>
      </c>
    </row>
    <row r="54" customFormat="false" ht="15" hidden="false" customHeight="false" outlineLevel="0" collapsed="false">
      <c r="A54" s="13" t="s">
        <v>45</v>
      </c>
      <c r="B54" s="7" t="n">
        <v>3361</v>
      </c>
      <c r="C54" s="7" t="n">
        <v>2260</v>
      </c>
      <c r="D54" s="7" t="n">
        <v>386</v>
      </c>
      <c r="E54" s="7" t="n">
        <v>15</v>
      </c>
      <c r="F54" s="14" t="n">
        <f aca="false">IFERROR(C54/B54,0)</f>
        <v>0.672418922939601</v>
      </c>
      <c r="G54" s="14" t="n">
        <f aca="false">IFERROR(D54/C54,0)</f>
        <v>0.170796460176991</v>
      </c>
      <c r="H54" s="14" t="n">
        <f aca="false">IFERROR(E54/C54,0)</f>
        <v>0.00663716814159292</v>
      </c>
      <c r="I54" s="14" t="n">
        <f aca="false">IFERROR(E54/D54,0)</f>
        <v>0.038860103626943</v>
      </c>
    </row>
    <row r="55" customFormat="false" ht="15" hidden="false" customHeight="false" outlineLevel="0" collapsed="false">
      <c r="A55" s="13" t="s">
        <v>60</v>
      </c>
      <c r="B55" s="7" t="n">
        <v>2793</v>
      </c>
      <c r="C55" s="7" t="n">
        <v>1905</v>
      </c>
      <c r="D55" s="7" t="n">
        <v>366</v>
      </c>
      <c r="E55" s="7" t="n">
        <v>10</v>
      </c>
      <c r="F55" s="14" t="n">
        <f aca="false">IFERROR(C55/B55,0)</f>
        <v>0.682062298603652</v>
      </c>
      <c r="G55" s="14" t="n">
        <f aca="false">IFERROR(D55/C55,0)</f>
        <v>0.192125984251969</v>
      </c>
      <c r="H55" s="14" t="n">
        <f aca="false">IFERROR(E55/C55,0)</f>
        <v>0.005249343832021</v>
      </c>
      <c r="I55" s="14" t="n">
        <f aca="false">IFERROR(E55/D55,0)</f>
        <v>0.0273224043715847</v>
      </c>
    </row>
    <row r="56" customFormat="false" ht="15" hidden="false" customHeight="false" outlineLevel="0" collapsed="false">
      <c r="A56" s="13" t="s">
        <v>41</v>
      </c>
      <c r="B56" s="7" t="n">
        <v>664</v>
      </c>
      <c r="C56" s="7" t="n">
        <v>510</v>
      </c>
      <c r="D56" s="7" t="n">
        <v>100</v>
      </c>
      <c r="E56" s="7" t="n">
        <v>2</v>
      </c>
      <c r="F56" s="14" t="n">
        <f aca="false">IFERROR(C56/B56,0)</f>
        <v>0.768072289156627</v>
      </c>
      <c r="G56" s="14" t="n">
        <f aca="false">IFERROR(D56/C56,0)</f>
        <v>0.196078431372549</v>
      </c>
      <c r="H56" s="14" t="n">
        <f aca="false">IFERROR(E56/C56,0)</f>
        <v>0.00392156862745098</v>
      </c>
      <c r="I56" s="14" t="n">
        <f aca="false">IFERROR(E56/D56,0)</f>
        <v>0.02</v>
      </c>
    </row>
    <row r="57" customFormat="false" ht="15" hidden="false" customHeight="false" outlineLevel="0" collapsed="false">
      <c r="A57" s="13" t="s">
        <v>33</v>
      </c>
      <c r="B57" s="7" t="n">
        <v>1316</v>
      </c>
      <c r="C57" s="7" t="n">
        <v>1227</v>
      </c>
      <c r="D57" s="7" t="n">
        <v>164</v>
      </c>
      <c r="E57" s="7" t="n">
        <v>2</v>
      </c>
      <c r="F57" s="14" t="n">
        <f aca="false">IFERROR(C57/B57,0)</f>
        <v>0.932370820668693</v>
      </c>
      <c r="G57" s="14" t="n">
        <f aca="false">IFERROR(D57/C57,0)</f>
        <v>0.133659331703342</v>
      </c>
      <c r="H57" s="14" t="n">
        <f aca="false">IFERROR(E57/C57,0)</f>
        <v>0.00162999185004075</v>
      </c>
      <c r="I57" s="14" t="n">
        <f aca="false">IFERROR(E57/D57,0)</f>
        <v>0.0121951219512195</v>
      </c>
    </row>
    <row r="58" customFormat="false" ht="15" hidden="false" customHeight="false" outlineLevel="0" collapsed="false">
      <c r="A58" s="13" t="s">
        <v>48</v>
      </c>
      <c r="B58" s="7" t="n">
        <v>2824</v>
      </c>
      <c r="C58" s="7" t="n">
        <v>2707</v>
      </c>
      <c r="D58" s="7" t="n">
        <v>467</v>
      </c>
      <c r="E58" s="7" t="n">
        <v>10</v>
      </c>
      <c r="F58" s="14" t="n">
        <f aca="false">IFERROR(C58/B58,0)</f>
        <v>0.95856940509915</v>
      </c>
      <c r="G58" s="14" t="n">
        <f aca="false">IFERROR(D58/C58,0)</f>
        <v>0.172515700036941</v>
      </c>
      <c r="H58" s="14" t="n">
        <f aca="false">IFERROR(E58/C58,0)</f>
        <v>0.0036941263391208</v>
      </c>
      <c r="I58" s="14" t="n">
        <f aca="false">IFERROR(E58/D58,0)</f>
        <v>0.0214132762312634</v>
      </c>
    </row>
    <row r="59" customFormat="false" ht="15" hidden="false" customHeight="false" outlineLevel="0" collapsed="false">
      <c r="A59" s="13" t="s">
        <v>31</v>
      </c>
      <c r="B59" s="7" t="n">
        <v>930</v>
      </c>
      <c r="C59" s="7" t="n">
        <v>887</v>
      </c>
      <c r="D59" s="7" t="n">
        <v>168</v>
      </c>
      <c r="E59" s="7" t="n">
        <v>9</v>
      </c>
      <c r="F59" s="14" t="n">
        <f aca="false">IFERROR(C59/B59,0)</f>
        <v>0.953763440860215</v>
      </c>
      <c r="G59" s="14" t="n">
        <f aca="false">IFERROR(D59/C59,0)</f>
        <v>0.189402480270575</v>
      </c>
      <c r="H59" s="14" t="n">
        <f aca="false">IFERROR(E59/C59,0)</f>
        <v>0.0101465614430665</v>
      </c>
      <c r="I59" s="14" t="n">
        <f aca="false">IFERROR(E59/D59,0)</f>
        <v>0.0535714285714286</v>
      </c>
    </row>
    <row r="60" customFormat="false" ht="15" hidden="false" customHeight="false" outlineLevel="0" collapsed="false">
      <c r="A60" s="15" t="s">
        <v>120</v>
      </c>
      <c r="B60" s="16" t="n">
        <f aca="false">SUM(B52:B59)</f>
        <v>17680</v>
      </c>
      <c r="C60" s="16" t="n">
        <f aca="false">SUM(C52:C59)</f>
        <v>13453</v>
      </c>
      <c r="D60" s="16" t="n">
        <f aca="false">SUM(D52:D59)</f>
        <v>2167</v>
      </c>
      <c r="E60" s="16" t="n">
        <f aca="false">SUM(E52:E59)</f>
        <v>69</v>
      </c>
      <c r="F60" s="17" t="n">
        <f aca="false">IFERROR(C60/B60,0)</f>
        <v>0.76091628959276</v>
      </c>
      <c r="G60" s="17" t="n">
        <f aca="false">IFERROR(D60/C60,0)</f>
        <v>0.16107931316435</v>
      </c>
      <c r="H60" s="17" t="n">
        <f aca="false">IFERROR(E60/C60,0)</f>
        <v>0.00512896751653906</v>
      </c>
      <c r="I60" s="17" t="n">
        <f aca="false">IFERROR(E60/D60,0)</f>
        <v>0.031841255191509</v>
      </c>
    </row>
    <row r="63" customFormat="false" ht="15" hidden="false" customHeight="false" outlineLevel="0" collapsed="false">
      <c r="A63" s="3" t="s">
        <v>136</v>
      </c>
    </row>
    <row r="64" customFormat="false" ht="15" hidden="false" customHeight="false" outlineLevel="0" collapsed="false">
      <c r="A64" s="2" t="s">
        <v>137</v>
      </c>
    </row>
    <row r="65" customFormat="false" ht="15" hidden="false" customHeight="false" outlineLevel="0" collapsed="false">
      <c r="A65" s="20" t="s">
        <v>138</v>
      </c>
    </row>
    <row r="67" customFormat="false" ht="15" hidden="false" customHeight="false" outlineLevel="0" collapsed="false">
      <c r="A67" s="11" t="s">
        <v>131</v>
      </c>
      <c r="B67" s="12"/>
      <c r="C67" s="12"/>
      <c r="D67" s="12"/>
      <c r="E67" s="12"/>
      <c r="F67" s="12"/>
    </row>
    <row r="68" customFormat="false" ht="27.75" hidden="false" customHeight="true" outlineLevel="0" collapsed="false">
      <c r="A68" s="5" t="s">
        <v>110</v>
      </c>
      <c r="B68" s="5" t="s">
        <v>111</v>
      </c>
      <c r="C68" s="5" t="s">
        <v>112</v>
      </c>
      <c r="D68" s="5" t="s">
        <v>132</v>
      </c>
      <c r="E68" s="5" t="s">
        <v>115</v>
      </c>
      <c r="F68" s="5" t="s">
        <v>133</v>
      </c>
    </row>
    <row r="69" customFormat="false" ht="15" hidden="false" customHeight="false" outlineLevel="0" collapsed="false">
      <c r="A69" s="13" t="s">
        <v>38</v>
      </c>
      <c r="B69" s="7" t="n">
        <v>2108</v>
      </c>
      <c r="C69" s="7" t="n">
        <v>1900</v>
      </c>
      <c r="D69" s="7" t="n">
        <v>1435</v>
      </c>
      <c r="E69" s="14" t="n">
        <f aca="false">IFERROR(C69/B69,0)</f>
        <v>0.901328273244782</v>
      </c>
      <c r="F69" s="14" t="n">
        <f aca="false">IFERROR(D69/C69,0)</f>
        <v>0.755263157894737</v>
      </c>
    </row>
    <row r="70" customFormat="false" ht="15" hidden="false" customHeight="false" outlineLevel="0" collapsed="false">
      <c r="A70" s="13" t="s">
        <v>53</v>
      </c>
      <c r="B70" s="7" t="n">
        <v>3025</v>
      </c>
      <c r="C70" s="7" t="n">
        <v>2287</v>
      </c>
      <c r="D70" s="7" t="n">
        <v>1821</v>
      </c>
      <c r="E70" s="14" t="n">
        <f aca="false">IFERROR(C70/B70,0)</f>
        <v>0.75603305785124</v>
      </c>
      <c r="F70" s="14" t="n">
        <f aca="false">IFERROR(D70/C70,0)</f>
        <v>0.796239615216441</v>
      </c>
    </row>
    <row r="71" customFormat="false" ht="15" hidden="false" customHeight="false" outlineLevel="0" collapsed="false">
      <c r="A71" s="13" t="s">
        <v>134</v>
      </c>
      <c r="B71" s="7" t="n">
        <v>0</v>
      </c>
      <c r="C71" s="7" t="n">
        <v>1</v>
      </c>
      <c r="D71" s="7" t="n">
        <v>7</v>
      </c>
      <c r="E71" s="14" t="n">
        <f aca="false">IFERROR(C71/B71,0)</f>
        <v>0</v>
      </c>
      <c r="F71" s="14" t="n">
        <f aca="false">IFERROR(D71/C71,0)</f>
        <v>7</v>
      </c>
    </row>
    <row r="72" customFormat="false" ht="15" hidden="false" customHeight="false" outlineLevel="0" collapsed="false">
      <c r="A72" s="13" t="s">
        <v>135</v>
      </c>
      <c r="B72" s="7" t="n">
        <v>0</v>
      </c>
      <c r="C72" s="7" t="n">
        <v>0</v>
      </c>
      <c r="D72" s="7" t="n">
        <v>0</v>
      </c>
      <c r="E72" s="14" t="n">
        <f aca="false">IFERROR(C72/B72,0)</f>
        <v>0</v>
      </c>
      <c r="F72" s="14" t="n">
        <f aca="false">IFERROR(D72/C72,0)</f>
        <v>0</v>
      </c>
    </row>
    <row r="73" customFormat="false" ht="15" hidden="false" customHeight="false" outlineLevel="0" collapsed="false">
      <c r="A73" s="13" t="s">
        <v>30</v>
      </c>
      <c r="B73" s="7" t="n">
        <v>0</v>
      </c>
      <c r="C73" s="7" t="n">
        <v>0</v>
      </c>
      <c r="D73" s="7" t="n">
        <v>0</v>
      </c>
      <c r="E73" s="14" t="n">
        <f aca="false">IFERROR(C73/B73,0)</f>
        <v>0</v>
      </c>
      <c r="F73" s="14" t="n">
        <f aca="false">IFERROR(D73/C73,0)</f>
        <v>0</v>
      </c>
    </row>
    <row r="74" customFormat="false" ht="15" hidden="false" customHeight="false" outlineLevel="0" collapsed="false">
      <c r="A74" s="13" t="s">
        <v>119</v>
      </c>
      <c r="B74" s="7" t="n">
        <v>0</v>
      </c>
      <c r="C74" s="7" t="n">
        <v>0</v>
      </c>
      <c r="D74" s="7" t="n">
        <v>0</v>
      </c>
      <c r="E74" s="14" t="n">
        <f aca="false">IFERROR(C74/B74,0)</f>
        <v>0</v>
      </c>
      <c r="F74" s="14" t="n">
        <f aca="false">IFERROR(D74/C74,0)</f>
        <v>0</v>
      </c>
    </row>
    <row r="75" customFormat="false" ht="15" hidden="false" customHeight="false" outlineLevel="0" collapsed="false">
      <c r="A75" s="13" t="s">
        <v>45</v>
      </c>
      <c r="B75" s="7" t="n">
        <v>6977</v>
      </c>
      <c r="C75" s="7" t="n">
        <v>5920</v>
      </c>
      <c r="D75" s="7" t="n">
        <v>4011</v>
      </c>
      <c r="E75" s="14" t="n">
        <f aca="false">IFERROR(C75/B75,0)</f>
        <v>0.848502221585209</v>
      </c>
      <c r="F75" s="14" t="n">
        <f aca="false">IFERROR(D75/C75,0)</f>
        <v>0.677533783783784</v>
      </c>
    </row>
    <row r="76" customFormat="false" ht="15" hidden="false" customHeight="false" outlineLevel="0" collapsed="false">
      <c r="A76" s="13" t="s">
        <v>60</v>
      </c>
      <c r="B76" s="7" t="n">
        <v>5055</v>
      </c>
      <c r="C76" s="7" t="n">
        <v>4234</v>
      </c>
      <c r="D76" s="7" t="n">
        <v>3992</v>
      </c>
      <c r="E76" s="14" t="n">
        <f aca="false">IFERROR(C76/B76,0)</f>
        <v>0.837586547972305</v>
      </c>
      <c r="F76" s="14" t="n">
        <f aca="false">IFERROR(D76/C76,0)</f>
        <v>0.942843646669816</v>
      </c>
    </row>
    <row r="77" customFormat="false" ht="15" hidden="false" customHeight="false" outlineLevel="0" collapsed="false">
      <c r="A77" s="13" t="s">
        <v>41</v>
      </c>
      <c r="B77" s="7" t="n">
        <v>0</v>
      </c>
      <c r="C77" s="7" t="n">
        <v>0</v>
      </c>
      <c r="D77" s="7" t="n">
        <v>18</v>
      </c>
      <c r="E77" s="14" t="n">
        <f aca="false">IFERROR(C77/B77,0)</f>
        <v>0</v>
      </c>
      <c r="F77" s="14" t="n">
        <f aca="false">IFERROR(D77/C77,0)</f>
        <v>0</v>
      </c>
    </row>
    <row r="78" customFormat="false" ht="15" hidden="false" customHeight="false" outlineLevel="0" collapsed="false">
      <c r="A78" s="15" t="s">
        <v>120</v>
      </c>
      <c r="B78" s="16" t="n">
        <f aca="false">SUM(B69:B77)</f>
        <v>17165</v>
      </c>
      <c r="C78" s="16" t="n">
        <f aca="false">SUM(C69:C77)</f>
        <v>14342</v>
      </c>
      <c r="D78" s="16" t="n">
        <f aca="false">SUM(D69:D77)</f>
        <v>11284</v>
      </c>
      <c r="E78" s="17" t="n">
        <f aca="false">IFERROR(C78/B78,0)</f>
        <v>0.835537430818526</v>
      </c>
      <c r="F78" s="17" t="n">
        <f aca="false">IFERROR(D78/C78,0)</f>
        <v>0.78678008645935</v>
      </c>
    </row>
    <row r="81" customFormat="false" ht="15" hidden="false" customHeight="false" outlineLevel="0" collapsed="false">
      <c r="A81" s="21" t="s">
        <v>139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customFormat="false" ht="15" hidden="false" customHeight="false" outlineLevel="0" collapsed="false">
      <c r="A82" s="2" t="s">
        <v>140</v>
      </c>
    </row>
    <row r="84" customFormat="false" ht="15" hidden="false" customHeight="false" outlineLevel="0" collapsed="false">
      <c r="A84" s="11" t="s">
        <v>141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customFormat="false" ht="27.75" hidden="false" customHeight="true" outlineLevel="0" collapsed="false">
      <c r="A85" s="5" t="s">
        <v>142</v>
      </c>
      <c r="B85" s="5" t="s">
        <v>111</v>
      </c>
      <c r="C85" s="5" t="s">
        <v>112</v>
      </c>
      <c r="D85" s="5" t="s">
        <v>132</v>
      </c>
      <c r="E85" s="5" t="s">
        <v>115</v>
      </c>
      <c r="F85" s="5" t="s">
        <v>133</v>
      </c>
      <c r="G85" s="23"/>
      <c r="H85" s="23"/>
      <c r="I85" s="23"/>
      <c r="J85" s="5" t="s">
        <v>21</v>
      </c>
      <c r="K85" s="5" t="s">
        <v>22</v>
      </c>
      <c r="L85" s="5" t="s">
        <v>143</v>
      </c>
      <c r="M85" s="5" t="s">
        <v>144</v>
      </c>
    </row>
    <row r="86" customFormat="false" ht="15" hidden="false" customHeight="false" outlineLevel="0" collapsed="false">
      <c r="A86" s="13" t="s">
        <v>145</v>
      </c>
      <c r="B86" s="7" t="n">
        <v>118081</v>
      </c>
      <c r="C86" s="7" t="n">
        <v>103461</v>
      </c>
      <c r="D86" s="7" t="n">
        <v>58992</v>
      </c>
      <c r="E86" s="14" t="n">
        <f aca="false">IFERROR(C86/B86,0)</f>
        <v>0.876186685410862</v>
      </c>
      <c r="F86" s="14" t="n">
        <f aca="false">IFERROR(D86/C86,0)</f>
        <v>0.570185867138342</v>
      </c>
      <c r="J86" s="6" t="s">
        <v>146</v>
      </c>
      <c r="K86" s="6" t="s">
        <v>147</v>
      </c>
      <c r="L86" s="6" t="s">
        <v>35</v>
      </c>
      <c r="M86" s="6" t="s">
        <v>148</v>
      </c>
    </row>
    <row r="87" customFormat="false" ht="15" hidden="false" customHeight="false" outlineLevel="0" collapsed="false">
      <c r="A87" s="13" t="s">
        <v>145</v>
      </c>
      <c r="B87" s="7" t="n">
        <v>103151</v>
      </c>
      <c r="C87" s="7" t="n">
        <v>79139</v>
      </c>
      <c r="D87" s="7" t="n">
        <v>51299</v>
      </c>
      <c r="E87" s="14" t="n">
        <f aca="false">IFERROR(C87/B87,0)</f>
        <v>0.767215053659199</v>
      </c>
      <c r="F87" s="14" t="n">
        <f aca="false">IFERROR(D87/C87,0)</f>
        <v>0.648213902121584</v>
      </c>
      <c r="J87" s="6" t="s">
        <v>146</v>
      </c>
      <c r="K87" s="6" t="s">
        <v>147</v>
      </c>
      <c r="L87" s="6" t="s">
        <v>35</v>
      </c>
      <c r="M87" s="6" t="s">
        <v>149</v>
      </c>
    </row>
    <row r="88" customFormat="false" ht="15" hidden="false" customHeight="false" outlineLevel="0" collapsed="false">
      <c r="A88" s="13" t="s">
        <v>150</v>
      </c>
      <c r="B88" s="7" t="n">
        <v>15814</v>
      </c>
      <c r="C88" s="7" t="n">
        <v>14554</v>
      </c>
      <c r="D88" s="7" t="n">
        <v>11418</v>
      </c>
      <c r="E88" s="14" t="n">
        <f aca="false">IFERROR(C88/B88,0)</f>
        <v>0.920323763753636</v>
      </c>
      <c r="F88" s="14" t="n">
        <f aca="false">IFERROR(D88/C88,0)</f>
        <v>0.784526590628006</v>
      </c>
      <c r="J88" s="6" t="s">
        <v>151</v>
      </c>
      <c r="K88" s="6" t="s">
        <v>147</v>
      </c>
      <c r="L88" s="6" t="s">
        <v>35</v>
      </c>
      <c r="M88" s="6" t="s">
        <v>152</v>
      </c>
    </row>
    <row r="89" customFormat="false" ht="15" hidden="false" customHeight="false" outlineLevel="0" collapsed="false">
      <c r="A89" s="13" t="s">
        <v>150</v>
      </c>
      <c r="B89" s="7" t="n">
        <v>29735</v>
      </c>
      <c r="C89" s="7" t="n">
        <v>26141</v>
      </c>
      <c r="D89" s="7" t="n">
        <v>20039</v>
      </c>
      <c r="E89" s="14" t="n">
        <f aca="false">IFERROR(C89/B89,0)</f>
        <v>0.879132335631411</v>
      </c>
      <c r="F89" s="14" t="n">
        <f aca="false">IFERROR(D89/C89,0)</f>
        <v>0.76657358172985</v>
      </c>
      <c r="J89" s="6" t="s">
        <v>151</v>
      </c>
      <c r="K89" s="6" t="s">
        <v>147</v>
      </c>
      <c r="L89" s="6" t="s">
        <v>35</v>
      </c>
      <c r="M89" s="6" t="s">
        <v>153</v>
      </c>
    </row>
    <row r="90" customFormat="false" ht="15" hidden="false" customHeight="false" outlineLevel="0" collapsed="false">
      <c r="A90" s="13" t="s">
        <v>154</v>
      </c>
      <c r="B90" s="7" t="n">
        <v>35300</v>
      </c>
      <c r="C90" s="7" t="n">
        <v>31016</v>
      </c>
      <c r="D90" s="7" t="n">
        <v>23616</v>
      </c>
      <c r="E90" s="14" t="n">
        <f aca="false">IFERROR(C90/B90,0)</f>
        <v>0.878640226628895</v>
      </c>
      <c r="F90" s="14" t="n">
        <f aca="false">IFERROR(D90/C90,0)</f>
        <v>0.761413464018571</v>
      </c>
      <c r="J90" s="6" t="s">
        <v>155</v>
      </c>
      <c r="K90" s="6" t="s">
        <v>147</v>
      </c>
      <c r="L90" s="6" t="s">
        <v>35</v>
      </c>
      <c r="M90" s="6" t="s">
        <v>156</v>
      </c>
    </row>
    <row r="91" customFormat="false" ht="15" hidden="false" customHeight="false" outlineLevel="0" collapsed="false">
      <c r="A91" s="13" t="s">
        <v>157</v>
      </c>
      <c r="B91" s="7" t="n">
        <v>1010</v>
      </c>
      <c r="C91" s="7" t="n">
        <v>910</v>
      </c>
      <c r="D91" s="7" t="n">
        <v>735</v>
      </c>
      <c r="E91" s="14" t="n">
        <f aca="false">IFERROR(C91/B91,0)</f>
        <v>0.900990099009901</v>
      </c>
      <c r="F91" s="14" t="n">
        <f aca="false">IFERROR(D91/C91,0)</f>
        <v>0.807692307692308</v>
      </c>
      <c r="J91" s="6" t="s">
        <v>158</v>
      </c>
      <c r="K91" s="6" t="s">
        <v>159</v>
      </c>
      <c r="L91" s="6" t="s">
        <v>39</v>
      </c>
      <c r="M91" s="6" t="s">
        <v>160</v>
      </c>
    </row>
    <row r="92" customFormat="false" ht="15" hidden="false" customHeight="false" outlineLevel="0" collapsed="false">
      <c r="A92" s="13" t="s">
        <v>161</v>
      </c>
      <c r="B92" s="7" t="n">
        <v>1010</v>
      </c>
      <c r="C92" s="7" t="n">
        <v>865</v>
      </c>
      <c r="D92" s="7" t="n">
        <v>670</v>
      </c>
      <c r="E92" s="14" t="n">
        <f aca="false">IFERROR(C92/B92,0)</f>
        <v>0.856435643564356</v>
      </c>
      <c r="F92" s="14" t="n">
        <f aca="false">IFERROR(D92/C92,0)</f>
        <v>0.774566473988439</v>
      </c>
      <c r="J92" s="6" t="s">
        <v>162</v>
      </c>
      <c r="K92" s="6" t="s">
        <v>163</v>
      </c>
      <c r="L92" s="6" t="s">
        <v>39</v>
      </c>
      <c r="M92" s="6" t="s">
        <v>164</v>
      </c>
    </row>
    <row r="93" customFormat="false" ht="15" hidden="false" customHeight="false" outlineLevel="0" collapsed="false">
      <c r="A93" s="13" t="s">
        <v>165</v>
      </c>
      <c r="B93" s="7" t="n">
        <v>30</v>
      </c>
      <c r="C93" s="7" t="n">
        <v>27</v>
      </c>
      <c r="D93" s="7" t="n">
        <v>25</v>
      </c>
      <c r="E93" s="14" t="n">
        <f aca="false">IFERROR(C93/B93,0)</f>
        <v>0.9</v>
      </c>
      <c r="F93" s="14" t="n">
        <f aca="false">IFERROR(D93/C93,0)</f>
        <v>0.925925925925926</v>
      </c>
      <c r="J93" s="6" t="s">
        <v>162</v>
      </c>
      <c r="K93" s="6" t="s">
        <v>166</v>
      </c>
      <c r="L93" s="6" t="s">
        <v>39</v>
      </c>
      <c r="M93" s="6" t="s">
        <v>167</v>
      </c>
    </row>
    <row r="94" customFormat="false" ht="15" hidden="false" customHeight="false" outlineLevel="0" collapsed="false">
      <c r="A94" s="13" t="s">
        <v>165</v>
      </c>
      <c r="B94" s="7" t="n">
        <v>10</v>
      </c>
      <c r="C94" s="7" t="n">
        <v>7</v>
      </c>
      <c r="D94" s="7" t="n">
        <v>10</v>
      </c>
      <c r="E94" s="14" t="n">
        <f aca="false">IFERROR(C94/B94,0)</f>
        <v>0.7</v>
      </c>
      <c r="F94" s="14" t="n">
        <f aca="false">IFERROR(D94/C94,0)</f>
        <v>1.42857142857143</v>
      </c>
      <c r="J94" s="6" t="s">
        <v>168</v>
      </c>
      <c r="K94" s="6" t="s">
        <v>169</v>
      </c>
      <c r="L94" s="6" t="s">
        <v>39</v>
      </c>
      <c r="M94" s="6" t="s">
        <v>170</v>
      </c>
    </row>
    <row r="95" customFormat="false" ht="15" hidden="false" customHeight="false" outlineLevel="0" collapsed="false">
      <c r="A95" s="13" t="s">
        <v>165</v>
      </c>
      <c r="B95" s="7" t="n">
        <v>1008</v>
      </c>
      <c r="C95" s="7" t="n">
        <v>878</v>
      </c>
      <c r="D95" s="7" t="n">
        <v>624</v>
      </c>
      <c r="E95" s="14" t="n">
        <f aca="false">IFERROR(C95/B95,0)</f>
        <v>0.871031746031746</v>
      </c>
      <c r="F95" s="14" t="n">
        <f aca="false">IFERROR(D95/C95,0)</f>
        <v>0.710706150341686</v>
      </c>
      <c r="J95" s="6" t="s">
        <v>171</v>
      </c>
      <c r="K95" s="6" t="s">
        <v>172</v>
      </c>
      <c r="L95" s="6" t="s">
        <v>39</v>
      </c>
      <c r="M95" s="6" t="s">
        <v>173</v>
      </c>
    </row>
    <row r="96" customFormat="false" ht="15" hidden="false" customHeight="false" outlineLevel="0" collapsed="false">
      <c r="A96" s="13" t="s">
        <v>174</v>
      </c>
      <c r="B96" s="7" t="n">
        <v>997</v>
      </c>
      <c r="C96" s="7" t="n">
        <v>534</v>
      </c>
      <c r="D96" s="7" t="n">
        <v>423</v>
      </c>
      <c r="E96" s="14" t="n">
        <f aca="false">IFERROR(C96/B96,0)</f>
        <v>0.535606820461384</v>
      </c>
      <c r="F96" s="14" t="n">
        <f aca="false">IFERROR(D96/C96,0)</f>
        <v>0.792134831460674</v>
      </c>
      <c r="J96" s="6" t="s">
        <v>175</v>
      </c>
      <c r="K96" s="6" t="s">
        <v>176</v>
      </c>
      <c r="L96" s="6" t="s">
        <v>39</v>
      </c>
      <c r="M96" s="6" t="s">
        <v>177</v>
      </c>
    </row>
    <row r="97" customFormat="false" ht="15" hidden="false" customHeight="false" outlineLevel="0" collapsed="false">
      <c r="A97" s="13" t="s">
        <v>154</v>
      </c>
      <c r="B97" s="7" t="n">
        <v>1068</v>
      </c>
      <c r="C97" s="7" t="n">
        <v>967</v>
      </c>
      <c r="D97" s="7" t="n">
        <v>776</v>
      </c>
      <c r="E97" s="14" t="n">
        <f aca="false">IFERROR(C97/B97,0)</f>
        <v>0.905430711610487</v>
      </c>
      <c r="F97" s="14" t="n">
        <f aca="false">IFERROR(D97/C97,0)</f>
        <v>0.802481902792141</v>
      </c>
      <c r="J97" s="6" t="s">
        <v>178</v>
      </c>
      <c r="K97" s="6" t="s">
        <v>171</v>
      </c>
      <c r="L97" s="6" t="s">
        <v>39</v>
      </c>
      <c r="M97" s="6" t="s">
        <v>179</v>
      </c>
    </row>
    <row r="98" customFormat="false" ht="15" hidden="false" customHeight="false" outlineLevel="0" collapsed="false">
      <c r="A98" s="13" t="s">
        <v>180</v>
      </c>
      <c r="B98" s="7" t="n">
        <v>1828</v>
      </c>
      <c r="C98" s="7" t="n">
        <v>1494</v>
      </c>
      <c r="D98" s="7" t="n">
        <v>1197</v>
      </c>
      <c r="E98" s="14" t="n">
        <f aca="false">IFERROR(C98/B98,0)</f>
        <v>0.817286652078775</v>
      </c>
      <c r="F98" s="14" t="n">
        <f aca="false">IFERROR(D98/C98,0)</f>
        <v>0.801204819277108</v>
      </c>
      <c r="J98" s="6" t="s">
        <v>181</v>
      </c>
      <c r="K98" s="6" t="s">
        <v>182</v>
      </c>
      <c r="L98" s="6" t="s">
        <v>39</v>
      </c>
      <c r="M98" s="6" t="s">
        <v>183</v>
      </c>
    </row>
    <row r="99" customFormat="false" ht="15" hidden="false" customHeight="false" outlineLevel="0" collapsed="false">
      <c r="A99" s="13" t="s">
        <v>184</v>
      </c>
      <c r="B99" s="7" t="n">
        <v>5146</v>
      </c>
      <c r="C99" s="7" t="n">
        <v>4447</v>
      </c>
      <c r="D99" s="7" t="n">
        <v>3562</v>
      </c>
      <c r="E99" s="14" t="n">
        <f aca="false">IFERROR(C99/B99,0)</f>
        <v>0.864166342790517</v>
      </c>
      <c r="F99" s="14" t="n">
        <f aca="false">IFERROR(D99/C99,0)</f>
        <v>0.800989431077131</v>
      </c>
      <c r="J99" s="6" t="s">
        <v>185</v>
      </c>
      <c r="K99" s="6" t="s">
        <v>186</v>
      </c>
      <c r="L99" s="6" t="s">
        <v>39</v>
      </c>
      <c r="M99" s="6" t="s">
        <v>187</v>
      </c>
    </row>
    <row r="100" customFormat="false" ht="15" hidden="false" customHeight="false" outlineLevel="0" collapsed="false">
      <c r="A100" s="13" t="s">
        <v>188</v>
      </c>
      <c r="B100" s="7" t="n">
        <v>5058</v>
      </c>
      <c r="C100" s="7" t="n">
        <v>4213</v>
      </c>
      <c r="D100" s="7" t="n">
        <v>3262</v>
      </c>
      <c r="E100" s="14" t="n">
        <f aca="false">IFERROR(C100/B100,0)</f>
        <v>0.832937920126532</v>
      </c>
      <c r="F100" s="14" t="n">
        <f aca="false">IFERROR(D100/C100,0)</f>
        <v>0.77427011630667</v>
      </c>
      <c r="J100" s="6" t="s">
        <v>189</v>
      </c>
      <c r="K100" s="6" t="s">
        <v>186</v>
      </c>
      <c r="L100" s="6" t="s">
        <v>39</v>
      </c>
      <c r="M100" s="6" t="s">
        <v>190</v>
      </c>
    </row>
    <row r="102" customFormat="false" ht="15" hidden="false" customHeight="false" outlineLevel="0" collapsed="false">
      <c r="A102" s="11" t="s">
        <v>191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customFormat="false" ht="27.75" hidden="false" customHeight="true" outlineLevel="0" collapsed="false">
      <c r="A103" s="5" t="s">
        <v>142</v>
      </c>
      <c r="B103" s="5" t="s">
        <v>111</v>
      </c>
      <c r="C103" s="5" t="s">
        <v>112</v>
      </c>
      <c r="D103" s="5" t="s">
        <v>113</v>
      </c>
      <c r="E103" s="5" t="s">
        <v>114</v>
      </c>
      <c r="F103" s="5" t="s">
        <v>115</v>
      </c>
      <c r="G103" s="5" t="s">
        <v>116</v>
      </c>
      <c r="H103" s="5" t="s">
        <v>117</v>
      </c>
      <c r="I103" s="5" t="s">
        <v>118</v>
      </c>
      <c r="J103" s="5" t="s">
        <v>21</v>
      </c>
      <c r="K103" s="5" t="s">
        <v>22</v>
      </c>
      <c r="L103" s="5" t="s">
        <v>143</v>
      </c>
      <c r="M103" s="5" t="s">
        <v>144</v>
      </c>
    </row>
    <row r="104" customFormat="false" ht="15" hidden="false" customHeight="false" outlineLevel="0" collapsed="false">
      <c r="A104" s="13" t="s">
        <v>161</v>
      </c>
      <c r="B104" s="7" t="n">
        <v>15263</v>
      </c>
      <c r="C104" s="7" t="n">
        <v>14835</v>
      </c>
      <c r="D104" s="7" t="n">
        <v>5005</v>
      </c>
      <c r="E104" s="7" t="n">
        <v>162</v>
      </c>
      <c r="F104" s="14" t="n">
        <f aca="false">IFERROR(C104/B104,0)</f>
        <v>0.97195833060342</v>
      </c>
      <c r="G104" s="14" t="n">
        <f aca="false">IFERROR(D104/C104,0)</f>
        <v>0.337377822716549</v>
      </c>
      <c r="H104" s="14" t="n">
        <f aca="false">IFERROR(E104/C104,0)</f>
        <v>0.0109201213346815</v>
      </c>
      <c r="I104" s="14" t="n">
        <f aca="false">IFERROR(E104/D104,0)</f>
        <v>0.0323676323676324</v>
      </c>
      <c r="J104" s="6" t="s">
        <v>192</v>
      </c>
      <c r="K104" s="6" t="s">
        <v>147</v>
      </c>
      <c r="L104" s="6" t="s">
        <v>27</v>
      </c>
      <c r="M104" s="6" t="s">
        <v>193</v>
      </c>
    </row>
    <row r="105" customFormat="false" ht="15" hidden="false" customHeight="false" outlineLevel="0" collapsed="false">
      <c r="A105" s="13" t="s">
        <v>194</v>
      </c>
      <c r="B105" s="7" t="n">
        <v>14472</v>
      </c>
      <c r="C105" s="7" t="n">
        <v>14423</v>
      </c>
      <c r="D105" s="7" t="n">
        <v>2524</v>
      </c>
      <c r="E105" s="7" t="n">
        <v>146</v>
      </c>
      <c r="F105" s="14" t="n">
        <f aca="false">IFERROR(C105/B105,0)</f>
        <v>0.996614151464898</v>
      </c>
      <c r="G105" s="14" t="n">
        <f aca="false">IFERROR(D105/C105,0)</f>
        <v>0.174998266657422</v>
      </c>
      <c r="H105" s="14" t="n">
        <f aca="false">IFERROR(E105/C105,0)</f>
        <v>0.0101227206545102</v>
      </c>
      <c r="I105" s="14" t="n">
        <f aca="false">IFERROR(E105/D105,0)</f>
        <v>0.0578446909667195</v>
      </c>
      <c r="J105" s="6" t="s">
        <v>195</v>
      </c>
      <c r="K105" s="6" t="s">
        <v>147</v>
      </c>
      <c r="L105" s="6" t="s">
        <v>27</v>
      </c>
      <c r="M105" s="6" t="s">
        <v>196</v>
      </c>
    </row>
    <row r="106" customFormat="false" ht="15" hidden="false" customHeight="false" outlineLevel="0" collapsed="false">
      <c r="A106" s="13" t="s">
        <v>197</v>
      </c>
      <c r="B106" s="7" t="n">
        <v>12187</v>
      </c>
      <c r="C106" s="7" t="n">
        <v>12000</v>
      </c>
      <c r="D106" s="7" t="n">
        <v>1972</v>
      </c>
      <c r="E106" s="7" t="n">
        <v>155</v>
      </c>
      <c r="F106" s="14" t="n">
        <f aca="false">IFERROR(C106/B106,0)</f>
        <v>0.98465578074998</v>
      </c>
      <c r="G106" s="14" t="n">
        <f aca="false">IFERROR(D106/C106,0)</f>
        <v>0.164333333333333</v>
      </c>
      <c r="H106" s="14" t="n">
        <f aca="false">IFERROR(E106/C106,0)</f>
        <v>0.0129166666666667</v>
      </c>
      <c r="I106" s="14" t="n">
        <f aca="false">IFERROR(E106/D106,0)</f>
        <v>0.0786004056795132</v>
      </c>
      <c r="J106" s="6" t="s">
        <v>192</v>
      </c>
      <c r="K106" s="6" t="s">
        <v>198</v>
      </c>
      <c r="L106" s="6" t="s">
        <v>27</v>
      </c>
      <c r="M106" s="6" t="s">
        <v>199</v>
      </c>
    </row>
    <row r="107" customFormat="false" ht="15" hidden="false" customHeight="false" outlineLevel="0" collapsed="false">
      <c r="A107" s="13" t="s">
        <v>200</v>
      </c>
      <c r="B107" s="7" t="n">
        <v>11984</v>
      </c>
      <c r="C107" s="7" t="n">
        <v>11822</v>
      </c>
      <c r="D107" s="7" t="n">
        <v>1696</v>
      </c>
      <c r="E107" s="7" t="n">
        <v>76</v>
      </c>
      <c r="F107" s="14" t="n">
        <f aca="false">IFERROR(C107/B107,0)</f>
        <v>0.986481975967957</v>
      </c>
      <c r="G107" s="14" t="n">
        <f aca="false">IFERROR(D107/C107,0)</f>
        <v>0.143461343258332</v>
      </c>
      <c r="H107" s="14" t="n">
        <f aca="false">IFERROR(E107/C107,0)</f>
        <v>0.00642869226865167</v>
      </c>
      <c r="I107" s="14" t="n">
        <f aca="false">IFERROR(E107/D107,0)</f>
        <v>0.044811320754717</v>
      </c>
      <c r="J107" s="6" t="s">
        <v>192</v>
      </c>
      <c r="K107" s="6" t="s">
        <v>147</v>
      </c>
      <c r="L107" s="6" t="s">
        <v>27</v>
      </c>
      <c r="M107" s="6" t="s">
        <v>201</v>
      </c>
    </row>
    <row r="108" customFormat="false" ht="15" hidden="false" customHeight="false" outlineLevel="0" collapsed="false">
      <c r="A108" s="13" t="s">
        <v>202</v>
      </c>
      <c r="B108" s="7" t="n">
        <v>26046</v>
      </c>
      <c r="C108" s="7" t="n">
        <v>25705</v>
      </c>
      <c r="D108" s="7" t="n">
        <v>2743</v>
      </c>
      <c r="E108" s="7" t="n">
        <v>304</v>
      </c>
      <c r="F108" s="14" t="n">
        <f aca="false">IFERROR(C108/B108,0)</f>
        <v>0.98690777854565</v>
      </c>
      <c r="G108" s="14" t="n">
        <f aca="false">IFERROR(D108/C108,0)</f>
        <v>0.106710756662128</v>
      </c>
      <c r="H108" s="14" t="n">
        <f aca="false">IFERROR(E108/C108,0)</f>
        <v>0.011826492900214</v>
      </c>
      <c r="I108" s="14" t="n">
        <f aca="false">IFERROR(E108/D108,0)</f>
        <v>0.110827561064528</v>
      </c>
      <c r="J108" s="6" t="s">
        <v>203</v>
      </c>
      <c r="K108" s="6" t="s">
        <v>147</v>
      </c>
      <c r="L108" s="6" t="s">
        <v>27</v>
      </c>
      <c r="M108" s="6" t="s">
        <v>204</v>
      </c>
    </row>
    <row r="109" customFormat="false" ht="15" hidden="false" customHeight="false" outlineLevel="0" collapsed="false">
      <c r="A109" s="13" t="s">
        <v>145</v>
      </c>
      <c r="B109" s="7" t="n">
        <v>2511</v>
      </c>
      <c r="C109" s="7" t="n">
        <v>1783</v>
      </c>
      <c r="D109" s="7" t="n">
        <v>336</v>
      </c>
      <c r="E109" s="7" t="n">
        <v>12</v>
      </c>
      <c r="F109" s="14" t="n">
        <f aca="false">IFERROR(C109/B109,0)</f>
        <v>0.710075667064914</v>
      </c>
      <c r="G109" s="14" t="n">
        <f aca="false">IFERROR(D109/C109,0)</f>
        <v>0.188446438586652</v>
      </c>
      <c r="H109" s="14" t="n">
        <f aca="false">IFERROR(E109/C109,0)</f>
        <v>0.00673022994952328</v>
      </c>
      <c r="I109" s="14" t="n">
        <f aca="false">IFERROR(E109/D109,0)</f>
        <v>0.0357142857142857</v>
      </c>
      <c r="J109" s="6" t="s">
        <v>192</v>
      </c>
      <c r="K109" s="6" t="s">
        <v>147</v>
      </c>
      <c r="L109" s="6" t="s">
        <v>35</v>
      </c>
      <c r="M109" s="6" t="s">
        <v>205</v>
      </c>
    </row>
    <row r="110" customFormat="false" ht="15" hidden="false" customHeight="false" outlineLevel="0" collapsed="false">
      <c r="A110" s="13" t="s">
        <v>145</v>
      </c>
      <c r="B110" s="7" t="n">
        <v>3698</v>
      </c>
      <c r="C110" s="7" t="n">
        <v>2423</v>
      </c>
      <c r="D110" s="7" t="n">
        <v>392</v>
      </c>
      <c r="E110" s="7" t="n">
        <v>16</v>
      </c>
      <c r="F110" s="14" t="n">
        <f aca="false">IFERROR(C110/B110,0)</f>
        <v>0.655219037317469</v>
      </c>
      <c r="G110" s="14" t="n">
        <f aca="false">IFERROR(D110/C110,0)</f>
        <v>0.161782913743293</v>
      </c>
      <c r="H110" s="14" t="n">
        <f aca="false">IFERROR(E110/C110,0)</f>
        <v>0.00660338423442014</v>
      </c>
      <c r="I110" s="14" t="n">
        <f aca="false">IFERROR(E110/D110,0)</f>
        <v>0.0408163265306122</v>
      </c>
      <c r="J110" s="6" t="s">
        <v>192</v>
      </c>
      <c r="K110" s="6" t="s">
        <v>147</v>
      </c>
      <c r="L110" s="6" t="s">
        <v>35</v>
      </c>
      <c r="M110" s="6" t="s">
        <v>206</v>
      </c>
    </row>
    <row r="111" customFormat="false" ht="15" hidden="false" customHeight="false" outlineLevel="0" collapsed="false">
      <c r="A111" s="13" t="s">
        <v>161</v>
      </c>
      <c r="B111" s="7" t="n">
        <v>2654</v>
      </c>
      <c r="C111" s="7" t="n">
        <v>1865</v>
      </c>
      <c r="D111" s="7" t="n">
        <v>275</v>
      </c>
      <c r="E111" s="7" t="n">
        <v>6</v>
      </c>
      <c r="F111" s="14" t="n">
        <f aca="false">IFERROR(C111/B111,0)</f>
        <v>0.702712886209495</v>
      </c>
      <c r="G111" s="14" t="n">
        <f aca="false">IFERROR(D111/C111,0)</f>
        <v>0.14745308310992</v>
      </c>
      <c r="H111" s="14" t="n">
        <f aca="false">IFERROR(E111/C111,0)</f>
        <v>0.0032171581769437</v>
      </c>
      <c r="I111" s="14" t="n">
        <f aca="false">IFERROR(E111/D111,0)</f>
        <v>0.0218181818181818</v>
      </c>
      <c r="J111" s="6" t="s">
        <v>192</v>
      </c>
      <c r="K111" s="6" t="s">
        <v>147</v>
      </c>
      <c r="L111" s="6" t="s">
        <v>35</v>
      </c>
      <c r="M111" s="6" t="s">
        <v>207</v>
      </c>
    </row>
    <row r="112" customFormat="false" ht="15" hidden="false" customHeight="false" outlineLevel="0" collapsed="false">
      <c r="A112" s="13" t="s">
        <v>161</v>
      </c>
      <c r="B112" s="7" t="n">
        <v>1393</v>
      </c>
      <c r="C112" s="7" t="n">
        <v>1021</v>
      </c>
      <c r="D112" s="7" t="n">
        <v>152</v>
      </c>
      <c r="E112" s="7" t="n">
        <v>6</v>
      </c>
      <c r="F112" s="14" t="n">
        <f aca="false">IFERROR(C112/B112,0)</f>
        <v>0.732950466618808</v>
      </c>
      <c r="G112" s="14" t="n">
        <f aca="false">IFERROR(D112/C112,0)</f>
        <v>0.148873653281097</v>
      </c>
      <c r="H112" s="14" t="n">
        <f aca="false">IFERROR(E112/C112,0)</f>
        <v>0.00587659157688541</v>
      </c>
      <c r="I112" s="14" t="n">
        <f aca="false">IFERROR(E112/D112,0)</f>
        <v>0.0394736842105263</v>
      </c>
      <c r="J112" s="6" t="s">
        <v>192</v>
      </c>
      <c r="K112" s="6" t="s">
        <v>208</v>
      </c>
      <c r="L112" s="6" t="s">
        <v>35</v>
      </c>
      <c r="M112" s="6" t="s">
        <v>209</v>
      </c>
    </row>
    <row r="113" customFormat="false" ht="15" hidden="false" customHeight="false" outlineLevel="0" collapsed="false">
      <c r="A113" s="13" t="s">
        <v>165</v>
      </c>
      <c r="B113" s="7" t="n">
        <v>856</v>
      </c>
      <c r="C113" s="7" t="n">
        <v>654</v>
      </c>
      <c r="D113" s="7" t="n">
        <v>102</v>
      </c>
      <c r="E113" s="7" t="n">
        <v>4</v>
      </c>
      <c r="F113" s="14" t="n">
        <f aca="false">IFERROR(C113/B113,0)</f>
        <v>0.764018691588785</v>
      </c>
      <c r="G113" s="14" t="n">
        <f aca="false">IFERROR(D113/C113,0)</f>
        <v>0.155963302752294</v>
      </c>
      <c r="H113" s="14" t="n">
        <f aca="false">IFERROR(E113/C113,0)</f>
        <v>0.00611620795107034</v>
      </c>
      <c r="I113" s="14" t="n">
        <f aca="false">IFERROR(E113/D113,0)</f>
        <v>0.0392156862745098</v>
      </c>
      <c r="J113" s="6" t="s">
        <v>192</v>
      </c>
      <c r="K113" s="6" t="s">
        <v>147</v>
      </c>
      <c r="L113" s="6" t="s">
        <v>35</v>
      </c>
      <c r="M113" s="6" t="s">
        <v>210</v>
      </c>
    </row>
    <row r="114" customFormat="false" ht="15" hidden="false" customHeight="false" outlineLevel="0" collapsed="false">
      <c r="A114" s="13" t="s">
        <v>165</v>
      </c>
      <c r="B114" s="7" t="n">
        <v>1911</v>
      </c>
      <c r="C114" s="7" t="n">
        <v>1437</v>
      </c>
      <c r="D114" s="7" t="n">
        <v>204</v>
      </c>
      <c r="E114" s="7" t="n">
        <v>4</v>
      </c>
      <c r="F114" s="14" t="n">
        <f aca="false">IFERROR(C114/B114,0)</f>
        <v>0.751962323390895</v>
      </c>
      <c r="G114" s="14" t="n">
        <f aca="false">IFERROR(D114/C114,0)</f>
        <v>0.1419624217119</v>
      </c>
      <c r="H114" s="14" t="n">
        <f aca="false">IFERROR(E114/C114,0)</f>
        <v>0.00278357689631176</v>
      </c>
      <c r="I114" s="14" t="n">
        <f aca="false">IFERROR(E114/D114,0)</f>
        <v>0.0196078431372549</v>
      </c>
      <c r="J114" s="6" t="s">
        <v>192</v>
      </c>
      <c r="K114" s="6" t="s">
        <v>147</v>
      </c>
      <c r="L114" s="6" t="s">
        <v>35</v>
      </c>
      <c r="M114" s="6" t="s">
        <v>211</v>
      </c>
    </row>
    <row r="115" customFormat="false" ht="15" hidden="false" customHeight="false" outlineLevel="0" collapsed="false">
      <c r="A115" s="13" t="s">
        <v>174</v>
      </c>
      <c r="B115" s="7" t="n">
        <v>1076</v>
      </c>
      <c r="C115" s="7" t="n">
        <v>912</v>
      </c>
      <c r="D115" s="7" t="n">
        <v>151</v>
      </c>
      <c r="E115" s="7" t="n">
        <v>3</v>
      </c>
      <c r="F115" s="14" t="n">
        <f aca="false">IFERROR(C115/B115,0)</f>
        <v>0.847583643122677</v>
      </c>
      <c r="G115" s="14" t="n">
        <f aca="false">IFERROR(D115/C115,0)</f>
        <v>0.165570175438596</v>
      </c>
      <c r="H115" s="14" t="n">
        <f aca="false">IFERROR(E115/C115,0)</f>
        <v>0.00328947368421053</v>
      </c>
      <c r="I115" s="14" t="n">
        <f aca="false">IFERROR(E115/D115,0)</f>
        <v>0.0198675496688742</v>
      </c>
      <c r="J115" s="6" t="s">
        <v>192</v>
      </c>
      <c r="K115" s="6" t="s">
        <v>147</v>
      </c>
      <c r="L115" s="6" t="s">
        <v>35</v>
      </c>
      <c r="M115" s="6" t="s">
        <v>212</v>
      </c>
    </row>
    <row r="116" customFormat="false" ht="15" hidden="false" customHeight="false" outlineLevel="0" collapsed="false">
      <c r="A116" s="13" t="s">
        <v>174</v>
      </c>
      <c r="B116" s="7" t="n">
        <v>223</v>
      </c>
      <c r="C116" s="7" t="n">
        <v>196</v>
      </c>
      <c r="D116" s="7" t="n">
        <v>34</v>
      </c>
      <c r="E116" s="7" t="n">
        <v>0</v>
      </c>
      <c r="F116" s="14" t="n">
        <f aca="false">IFERROR(C116/B116,0)</f>
        <v>0.878923766816144</v>
      </c>
      <c r="G116" s="14" t="n">
        <f aca="false">IFERROR(D116/C116,0)</f>
        <v>0.173469387755102</v>
      </c>
      <c r="H116" s="14" t="n">
        <f aca="false">IFERROR(E116/C116,0)</f>
        <v>0</v>
      </c>
      <c r="I116" s="14" t="n">
        <f aca="false">IFERROR(E116/D116,0)</f>
        <v>0</v>
      </c>
      <c r="J116" s="6" t="s">
        <v>213</v>
      </c>
      <c r="K116" s="6" t="s">
        <v>147</v>
      </c>
      <c r="L116" s="6" t="s">
        <v>35</v>
      </c>
      <c r="M116" s="6" t="s">
        <v>214</v>
      </c>
    </row>
    <row r="117" customFormat="false" ht="15" hidden="false" customHeight="false" outlineLevel="0" collapsed="false">
      <c r="A117" s="13" t="s">
        <v>215</v>
      </c>
      <c r="B117" s="7" t="n">
        <v>27</v>
      </c>
      <c r="C117" s="7" t="n">
        <v>26</v>
      </c>
      <c r="D117" s="7" t="n">
        <v>6</v>
      </c>
      <c r="E117" s="7" t="n">
        <v>0</v>
      </c>
      <c r="F117" s="14" t="n">
        <f aca="false">IFERROR(C117/B117,0)</f>
        <v>0.962962962962963</v>
      </c>
      <c r="G117" s="14" t="n">
        <f aca="false">IFERROR(D117/C117,0)</f>
        <v>0.230769230769231</v>
      </c>
      <c r="H117" s="14" t="n">
        <f aca="false">IFERROR(E117/C117,0)</f>
        <v>0</v>
      </c>
      <c r="I117" s="14" t="n">
        <f aca="false">IFERROR(E117/D117,0)</f>
        <v>0</v>
      </c>
      <c r="J117" s="6" t="s">
        <v>216</v>
      </c>
      <c r="K117" s="6" t="s">
        <v>198</v>
      </c>
      <c r="L117" s="6" t="s">
        <v>35</v>
      </c>
      <c r="M117" s="6" t="s">
        <v>217</v>
      </c>
    </row>
    <row r="118" customFormat="false" ht="15" hidden="false" customHeight="false" outlineLevel="0" collapsed="false">
      <c r="A118" s="13" t="s">
        <v>215</v>
      </c>
      <c r="B118" s="7" t="n">
        <v>771</v>
      </c>
      <c r="C118" s="7" t="n">
        <v>696</v>
      </c>
      <c r="D118" s="7" t="n">
        <v>121</v>
      </c>
      <c r="E118" s="7" t="n">
        <v>2</v>
      </c>
      <c r="F118" s="14" t="n">
        <f aca="false">IFERROR(C118/B118,0)</f>
        <v>0.90272373540856</v>
      </c>
      <c r="G118" s="14" t="n">
        <f aca="false">IFERROR(D118/C118,0)</f>
        <v>0.173850574712644</v>
      </c>
      <c r="H118" s="14" t="n">
        <f aca="false">IFERROR(E118/C118,0)</f>
        <v>0.0028735632183908</v>
      </c>
      <c r="I118" s="14" t="n">
        <f aca="false">IFERROR(E118/D118,0)</f>
        <v>0.0165289256198347</v>
      </c>
      <c r="J118" s="6" t="s">
        <v>195</v>
      </c>
      <c r="K118" s="6" t="s">
        <v>147</v>
      </c>
      <c r="L118" s="6" t="s">
        <v>35</v>
      </c>
      <c r="M118" s="6" t="s">
        <v>218</v>
      </c>
    </row>
    <row r="119" customFormat="false" ht="15" hidden="false" customHeight="false" outlineLevel="0" collapsed="false">
      <c r="A119" s="13" t="s">
        <v>219</v>
      </c>
      <c r="B119" s="7" t="n">
        <v>681</v>
      </c>
      <c r="C119" s="7" t="n">
        <v>637</v>
      </c>
      <c r="D119" s="7" t="n">
        <v>119</v>
      </c>
      <c r="E119" s="7" t="n">
        <v>1</v>
      </c>
      <c r="F119" s="14" t="n">
        <f aca="false">IFERROR(C119/B119,0)</f>
        <v>0.935389133627019</v>
      </c>
      <c r="G119" s="14" t="n">
        <f aca="false">IFERROR(D119/C119,0)</f>
        <v>0.186813186813187</v>
      </c>
      <c r="H119" s="14" t="n">
        <f aca="false">IFERROR(E119/C119,0)</f>
        <v>0.00156985871271586</v>
      </c>
      <c r="I119" s="14" t="n">
        <f aca="false">IFERROR(E119/D119,0)</f>
        <v>0.00840336134453782</v>
      </c>
      <c r="J119" s="6" t="s">
        <v>195</v>
      </c>
      <c r="K119" s="6" t="s">
        <v>147</v>
      </c>
      <c r="L119" s="6" t="s">
        <v>35</v>
      </c>
      <c r="M119" s="6" t="s">
        <v>220</v>
      </c>
    </row>
    <row r="120" customFormat="false" ht="15" hidden="false" customHeight="false" outlineLevel="0" collapsed="false">
      <c r="A120" s="13" t="s">
        <v>221</v>
      </c>
      <c r="B120" s="7" t="n">
        <v>520</v>
      </c>
      <c r="C120" s="7" t="n">
        <v>490</v>
      </c>
      <c r="D120" s="7" t="n">
        <v>104</v>
      </c>
      <c r="E120" s="7" t="n">
        <v>2</v>
      </c>
      <c r="F120" s="14" t="n">
        <f aca="false">IFERROR(C120/B120,0)</f>
        <v>0.942307692307692</v>
      </c>
      <c r="G120" s="14" t="n">
        <f aca="false">IFERROR(D120/C120,0)</f>
        <v>0.212244897959184</v>
      </c>
      <c r="H120" s="14" t="n">
        <f aca="false">IFERROR(E120/C120,0)</f>
        <v>0.00408163265306123</v>
      </c>
      <c r="I120" s="14" t="n">
        <f aca="false">IFERROR(E120/D120,0)</f>
        <v>0.0192307692307692</v>
      </c>
      <c r="J120" s="6" t="s">
        <v>192</v>
      </c>
      <c r="K120" s="6" t="s">
        <v>147</v>
      </c>
      <c r="L120" s="6" t="s">
        <v>35</v>
      </c>
      <c r="M120" s="6" t="s">
        <v>222</v>
      </c>
    </row>
    <row r="121" customFormat="false" ht="15" hidden="false" customHeight="false" outlineLevel="0" collapsed="false">
      <c r="A121" s="13" t="s">
        <v>223</v>
      </c>
      <c r="B121" s="7" t="n">
        <v>663</v>
      </c>
      <c r="C121" s="7" t="n">
        <v>642</v>
      </c>
      <c r="D121" s="7" t="n">
        <v>86</v>
      </c>
      <c r="E121" s="7" t="n">
        <v>7</v>
      </c>
      <c r="F121" s="14" t="n">
        <f aca="false">IFERROR(C121/B121,0)</f>
        <v>0.968325791855204</v>
      </c>
      <c r="G121" s="14" t="n">
        <f aca="false">IFERROR(D121/C121,0)</f>
        <v>0.133956386292835</v>
      </c>
      <c r="H121" s="14" t="n">
        <f aca="false">IFERROR(E121/C121,0)</f>
        <v>0.0109034267912773</v>
      </c>
      <c r="I121" s="14" t="n">
        <f aca="false">IFERROR(E121/D121,0)</f>
        <v>0.0813953488372093</v>
      </c>
      <c r="J121" s="6" t="s">
        <v>224</v>
      </c>
      <c r="K121" s="6" t="s">
        <v>225</v>
      </c>
      <c r="L121" s="6" t="s">
        <v>35</v>
      </c>
      <c r="M121" s="6" t="s">
        <v>226</v>
      </c>
    </row>
    <row r="122" customFormat="false" ht="15" hidden="false" customHeight="false" outlineLevel="0" collapsed="false">
      <c r="A122" s="13" t="s">
        <v>227</v>
      </c>
      <c r="B122" s="7" t="n">
        <v>696</v>
      </c>
      <c r="C122" s="7" t="n">
        <v>671</v>
      </c>
      <c r="D122" s="7" t="n">
        <v>85</v>
      </c>
      <c r="E122" s="7" t="n">
        <v>6</v>
      </c>
      <c r="F122" s="14" t="n">
        <f aca="false">IFERROR(C122/B122,0)</f>
        <v>0.964080459770115</v>
      </c>
      <c r="G122" s="14" t="n">
        <f aca="false">IFERROR(D122/C122,0)</f>
        <v>0.126676602086438</v>
      </c>
      <c r="H122" s="14" t="n">
        <f aca="false">IFERROR(E122/C122,0)</f>
        <v>0.00894187779433681</v>
      </c>
      <c r="I122" s="14" t="n">
        <f aca="false">IFERROR(E122/D122,0)</f>
        <v>0.0705882352941177</v>
      </c>
      <c r="J122" s="6" t="s">
        <v>224</v>
      </c>
      <c r="K122" s="6" t="s">
        <v>225</v>
      </c>
      <c r="L122" s="6" t="s">
        <v>35</v>
      </c>
      <c r="M122" s="6" t="s">
        <v>228</v>
      </c>
    </row>
    <row r="124" customFormat="false" ht="15" hidden="false" customHeight="false" outlineLevel="0" collapsed="false">
      <c r="A124" s="11" t="s">
        <v>229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customFormat="false" ht="27.75" hidden="false" customHeight="true" outlineLevel="0" collapsed="false">
      <c r="A125" s="5" t="s">
        <v>142</v>
      </c>
      <c r="B125" s="5" t="s">
        <v>111</v>
      </c>
      <c r="C125" s="5" t="s">
        <v>122</v>
      </c>
      <c r="D125" s="5" t="s">
        <v>123</v>
      </c>
      <c r="E125" s="5" t="s">
        <v>124</v>
      </c>
      <c r="F125" s="5" t="s">
        <v>125</v>
      </c>
      <c r="G125" s="5" t="s">
        <v>126</v>
      </c>
      <c r="H125" s="5" t="s">
        <v>127</v>
      </c>
      <c r="I125" s="23"/>
      <c r="J125" s="5" t="s">
        <v>21</v>
      </c>
      <c r="K125" s="5" t="s">
        <v>22</v>
      </c>
      <c r="L125" s="5" t="s">
        <v>143</v>
      </c>
      <c r="M125" s="5" t="s">
        <v>144</v>
      </c>
    </row>
    <row r="126" customFormat="false" ht="15" hidden="false" customHeight="false" outlineLevel="0" collapsed="false">
      <c r="A126" s="13" t="s">
        <v>161</v>
      </c>
      <c r="B126" s="7" t="n">
        <v>9695</v>
      </c>
      <c r="C126" s="7" t="n">
        <v>8622</v>
      </c>
      <c r="D126" s="7" t="n">
        <v>1073</v>
      </c>
      <c r="E126" s="7" t="n">
        <v>26</v>
      </c>
      <c r="F126" s="14" t="n">
        <f aca="false">IFERROR(C126/B126,0)</f>
        <v>0.889324394017535</v>
      </c>
      <c r="G126" s="14" t="n">
        <f aca="false">IFERROR(D126/B126,0)</f>
        <v>0.110675605982465</v>
      </c>
      <c r="H126" s="14" t="n">
        <f aca="false">IFERROR(E126/B126,0)</f>
        <v>0.00268179473955647</v>
      </c>
      <c r="J126" s="6" t="s">
        <v>230</v>
      </c>
      <c r="K126" s="6" t="s">
        <v>208</v>
      </c>
      <c r="L126" s="6" t="s">
        <v>27</v>
      </c>
      <c r="M126" s="6" t="s">
        <v>231</v>
      </c>
    </row>
    <row r="127" customFormat="false" ht="15" hidden="false" customHeight="false" outlineLevel="0" collapsed="false">
      <c r="A127" s="13" t="s">
        <v>194</v>
      </c>
      <c r="B127" s="7" t="n">
        <v>219</v>
      </c>
      <c r="C127" s="7" t="n">
        <v>205</v>
      </c>
      <c r="D127" s="7" t="n">
        <v>14</v>
      </c>
      <c r="E127" s="7" t="n">
        <v>0</v>
      </c>
      <c r="F127" s="14" t="n">
        <f aca="false">IFERROR(C127/B127,0)</f>
        <v>0.936073059360731</v>
      </c>
      <c r="G127" s="14" t="n">
        <f aca="false">IFERROR(D127/B127,0)</f>
        <v>0.0639269406392694</v>
      </c>
      <c r="H127" s="14" t="n">
        <f aca="false">IFERROR(E127/B127,0)</f>
        <v>0</v>
      </c>
      <c r="J127" s="6" t="s">
        <v>232</v>
      </c>
      <c r="K127" s="6" t="s">
        <v>208</v>
      </c>
      <c r="L127" s="6" t="s">
        <v>27</v>
      </c>
      <c r="M127" s="6" t="s">
        <v>233</v>
      </c>
    </row>
    <row r="128" customFormat="false" ht="15" hidden="false" customHeight="false" outlineLevel="0" collapsed="false">
      <c r="A128" s="13" t="s">
        <v>165</v>
      </c>
      <c r="B128" s="7" t="n">
        <v>9398</v>
      </c>
      <c r="C128" s="7" t="n">
        <v>8440</v>
      </c>
      <c r="D128" s="7" t="n">
        <v>958</v>
      </c>
      <c r="E128" s="7" t="n">
        <v>9</v>
      </c>
      <c r="F128" s="14" t="n">
        <f aca="false">IFERROR(C128/B128,0)</f>
        <v>0.898063417748457</v>
      </c>
      <c r="G128" s="14" t="n">
        <f aca="false">IFERROR(D128/B128,0)</f>
        <v>0.101936582251543</v>
      </c>
      <c r="H128" s="14" t="n">
        <f aca="false">IFERROR(E128/B128,0)</f>
        <v>0.000957650563949777</v>
      </c>
      <c r="J128" s="6" t="s">
        <v>234</v>
      </c>
      <c r="K128" s="6" t="s">
        <v>208</v>
      </c>
      <c r="L128" s="6" t="s">
        <v>27</v>
      </c>
      <c r="M128" s="6" t="s">
        <v>235</v>
      </c>
    </row>
    <row r="129" customFormat="false" ht="15" hidden="false" customHeight="false" outlineLevel="0" collapsed="false">
      <c r="A129" s="13" t="s">
        <v>174</v>
      </c>
      <c r="B129" s="7" t="n">
        <v>4908</v>
      </c>
      <c r="C129" s="7" t="n">
        <v>4648</v>
      </c>
      <c r="D129" s="7" t="n">
        <v>260</v>
      </c>
      <c r="E129" s="7" t="n">
        <v>0</v>
      </c>
      <c r="F129" s="14" t="n">
        <f aca="false">IFERROR(C129/B129,0)</f>
        <v>0.947025264873676</v>
      </c>
      <c r="G129" s="14" t="n">
        <f aca="false">IFERROR(D129/B129,0)</f>
        <v>0.0529747351263244</v>
      </c>
      <c r="H129" s="14" t="n">
        <f aca="false">IFERROR(E129/B129,0)</f>
        <v>0</v>
      </c>
      <c r="J129" s="6" t="s">
        <v>236</v>
      </c>
      <c r="K129" s="6" t="s">
        <v>237</v>
      </c>
      <c r="L129" s="6" t="s">
        <v>27</v>
      </c>
      <c r="M129" s="6" t="s">
        <v>238</v>
      </c>
    </row>
    <row r="130" customFormat="false" ht="15" hidden="false" customHeight="false" outlineLevel="0" collapsed="false">
      <c r="A130" s="13" t="s">
        <v>215</v>
      </c>
      <c r="B130" s="7" t="n">
        <v>98</v>
      </c>
      <c r="C130" s="7" t="n">
        <v>93</v>
      </c>
      <c r="D130" s="7" t="n">
        <v>5</v>
      </c>
      <c r="E130" s="7" t="n">
        <v>0</v>
      </c>
      <c r="F130" s="14" t="n">
        <f aca="false">IFERROR(C130/B130,0)</f>
        <v>0.948979591836735</v>
      </c>
      <c r="G130" s="14" t="n">
        <f aca="false">IFERROR(D130/B130,0)</f>
        <v>0.0510204081632653</v>
      </c>
      <c r="H130" s="14" t="n">
        <f aca="false">IFERROR(E130/B130,0)</f>
        <v>0</v>
      </c>
      <c r="J130" s="6" t="s">
        <v>236</v>
      </c>
      <c r="K130" s="6" t="s">
        <v>239</v>
      </c>
      <c r="L130" s="6" t="s">
        <v>27</v>
      </c>
      <c r="M130" s="6" t="s">
        <v>240</v>
      </c>
    </row>
    <row r="131" customFormat="false" ht="15" hidden="false" customHeight="false" outlineLevel="0" collapsed="false">
      <c r="A131" s="13" t="s">
        <v>241</v>
      </c>
      <c r="B131" s="7" t="n">
        <v>7886</v>
      </c>
      <c r="C131" s="7" t="n">
        <v>7644</v>
      </c>
      <c r="D131" s="7" t="n">
        <v>242</v>
      </c>
      <c r="E131" s="7" t="n">
        <v>0</v>
      </c>
      <c r="F131" s="14" t="n">
        <f aca="false">IFERROR(C131/B131,0)</f>
        <v>0.969312706061375</v>
      </c>
      <c r="G131" s="14" t="n">
        <f aca="false">IFERROR(D131/B131,0)</f>
        <v>0.0306872939386254</v>
      </c>
      <c r="H131" s="14" t="n">
        <f aca="false">IFERROR(E131/B131,0)</f>
        <v>0</v>
      </c>
      <c r="J131" s="6" t="s">
        <v>242</v>
      </c>
      <c r="K131" s="6" t="s">
        <v>208</v>
      </c>
      <c r="L131" s="6" t="s">
        <v>27</v>
      </c>
      <c r="M131" s="6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  <col collapsed="false" customWidth="true" hidden="false" outlineLevel="0" max="11" min="10" style="0" width="10"/>
    <col collapsed="false" customWidth="true" hidden="false" outlineLevel="0" max="12" min="12" style="0" width="48"/>
    <col collapsed="false" customWidth="true" hidden="false" outlineLevel="0" max="13" min="13" style="0" width="78"/>
  </cols>
  <sheetData>
    <row r="1" customFormat="false" ht="19.7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Format="false" ht="15" hidden="false" customHeight="false" outlineLevel="0" collapsed="false">
      <c r="A6" s="3" t="s">
        <v>245</v>
      </c>
    </row>
    <row r="7" customFormat="false" ht="15" hidden="false" customHeight="false" outlineLevel="0" collapsed="false">
      <c r="A7" s="2" t="s">
        <v>246</v>
      </c>
    </row>
    <row r="8" customFormat="false" ht="15" hidden="false" customHeight="false" outlineLevel="0" collapsed="false">
      <c r="A8" s="20" t="s">
        <v>247</v>
      </c>
    </row>
    <row r="10" customFormat="false" ht="15" hidden="false" customHeight="false" outlineLevel="0" collapsed="false">
      <c r="A10" s="11" t="s">
        <v>109</v>
      </c>
      <c r="B10" s="12"/>
      <c r="C10" s="12"/>
      <c r="D10" s="12"/>
      <c r="E10" s="12"/>
      <c r="F10" s="12"/>
      <c r="G10" s="12"/>
      <c r="H10" s="12"/>
      <c r="I10" s="12"/>
    </row>
    <row r="11" customFormat="false" ht="27.75" hidden="false" customHeight="true" outlineLevel="0" collapsed="false">
      <c r="A11" s="5" t="s">
        <v>110</v>
      </c>
      <c r="B11" s="5" t="s">
        <v>111</v>
      </c>
      <c r="C11" s="5" t="s">
        <v>112</v>
      </c>
      <c r="D11" s="5" t="s">
        <v>113</v>
      </c>
      <c r="E11" s="5" t="s">
        <v>114</v>
      </c>
      <c r="F11" s="5" t="s">
        <v>115</v>
      </c>
      <c r="G11" s="5" t="s">
        <v>116</v>
      </c>
      <c r="H11" s="5" t="s">
        <v>117</v>
      </c>
      <c r="I11" s="5" t="s">
        <v>118</v>
      </c>
    </row>
    <row r="12" customFormat="false" ht="15" hidden="false" customHeight="false" outlineLevel="0" collapsed="false">
      <c r="A12" s="13" t="s">
        <v>30</v>
      </c>
      <c r="B12" s="7" t="n">
        <v>17940</v>
      </c>
      <c r="C12" s="7" t="n">
        <v>17664</v>
      </c>
      <c r="D12" s="7" t="n">
        <v>3411</v>
      </c>
      <c r="E12" s="7" t="n">
        <v>149</v>
      </c>
      <c r="F12" s="14" t="n">
        <f aca="false">IFERROR(C12/B12,0)</f>
        <v>0.984615384615385</v>
      </c>
      <c r="G12" s="14" t="n">
        <f aca="false">IFERROR(D12/C12,0)</f>
        <v>0.193104619565217</v>
      </c>
      <c r="H12" s="14" t="n">
        <f aca="false">IFERROR(E12/C12,0)</f>
        <v>0.00843523550724638</v>
      </c>
      <c r="I12" s="14" t="n">
        <f aca="false">IFERROR(E12/D12,0)</f>
        <v>0.0436822046320727</v>
      </c>
    </row>
    <row r="13" customFormat="false" ht="15" hidden="false" customHeight="false" outlineLevel="0" collapsed="false">
      <c r="A13" s="13" t="s">
        <v>119</v>
      </c>
      <c r="B13" s="7" t="n">
        <v>25693</v>
      </c>
      <c r="C13" s="7" t="n">
        <v>25472</v>
      </c>
      <c r="D13" s="7" t="n">
        <v>4877</v>
      </c>
      <c r="E13" s="7" t="n">
        <v>202</v>
      </c>
      <c r="F13" s="14" t="n">
        <f aca="false">IFERROR(C13/B13,0)</f>
        <v>0.991398435371502</v>
      </c>
      <c r="G13" s="14" t="n">
        <f aca="false">IFERROR(D13/C13,0)</f>
        <v>0.191465138190955</v>
      </c>
      <c r="H13" s="14" t="n">
        <f aca="false">IFERROR(E13/C13,0)</f>
        <v>0.00793027638190955</v>
      </c>
      <c r="I13" s="14" t="n">
        <f aca="false">IFERROR(E13/D13,0)</f>
        <v>0.0414189050645889</v>
      </c>
    </row>
    <row r="14" customFormat="false" ht="15" hidden="false" customHeight="false" outlineLevel="0" collapsed="false">
      <c r="A14" s="13" t="s">
        <v>45</v>
      </c>
      <c r="B14" s="7" t="n">
        <v>8140</v>
      </c>
      <c r="C14" s="7" t="n">
        <v>8064</v>
      </c>
      <c r="D14" s="7" t="n">
        <v>1331</v>
      </c>
      <c r="E14" s="7" t="n">
        <v>54</v>
      </c>
      <c r="F14" s="14" t="n">
        <f aca="false">IFERROR(C14/B14,0)</f>
        <v>0.990663390663391</v>
      </c>
      <c r="G14" s="14" t="n">
        <f aca="false">IFERROR(D14/C14,0)</f>
        <v>0.165054563492064</v>
      </c>
      <c r="H14" s="14" t="n">
        <f aca="false">IFERROR(E14/C14,0)</f>
        <v>0.00669642857142857</v>
      </c>
      <c r="I14" s="14" t="n">
        <f aca="false">IFERROR(E14/D14,0)</f>
        <v>0.0405709992486852</v>
      </c>
    </row>
    <row r="15" customFormat="false" ht="15" hidden="false" customHeight="false" outlineLevel="0" collapsed="false">
      <c r="A15" s="15" t="s">
        <v>120</v>
      </c>
      <c r="B15" s="16" t="n">
        <f aca="false">SUM(B12:B14)</f>
        <v>51773</v>
      </c>
      <c r="C15" s="16" t="n">
        <f aca="false">SUM(C12:C14)</f>
        <v>51200</v>
      </c>
      <c r="D15" s="16" t="n">
        <f aca="false">SUM(D12:D14)</f>
        <v>9619</v>
      </c>
      <c r="E15" s="16" t="n">
        <f aca="false">SUM(E12:E14)</f>
        <v>405</v>
      </c>
      <c r="F15" s="17" t="n">
        <f aca="false">IFERROR(C15/B15,0)</f>
        <v>0.98893245514071</v>
      </c>
      <c r="G15" s="17" t="n">
        <f aca="false">IFERROR(D15/C15,0)</f>
        <v>0.18787109375</v>
      </c>
      <c r="H15" s="17" t="n">
        <f aca="false">IFERROR(E15/C15,0)</f>
        <v>0.00791015625</v>
      </c>
      <c r="I15" s="17" t="n">
        <f aca="false">IFERROR(E15/D15,0)</f>
        <v>0.042104168832519</v>
      </c>
    </row>
    <row r="18" customFormat="false" ht="15" hidden="false" customHeight="false" outlineLevel="0" collapsed="false">
      <c r="A18" s="3" t="s">
        <v>248</v>
      </c>
    </row>
    <row r="19" customFormat="false" ht="15" hidden="false" customHeight="false" outlineLevel="0" collapsed="false">
      <c r="A19" s="2" t="s">
        <v>249</v>
      </c>
    </row>
    <row r="20" customFormat="false" ht="15" hidden="false" customHeight="false" outlineLevel="0" collapsed="false">
      <c r="A20" s="20" t="s">
        <v>250</v>
      </c>
    </row>
    <row r="22" customFormat="false" ht="15" hidden="false" customHeight="false" outlineLevel="0" collapsed="false">
      <c r="A22" s="11" t="s">
        <v>131</v>
      </c>
      <c r="B22" s="12"/>
      <c r="C22" s="12"/>
      <c r="D22" s="12"/>
      <c r="E22" s="12"/>
      <c r="F22" s="12"/>
    </row>
    <row r="23" customFormat="false" ht="27.75" hidden="false" customHeight="true" outlineLevel="0" collapsed="false">
      <c r="A23" s="5" t="s">
        <v>110</v>
      </c>
      <c r="B23" s="5" t="s">
        <v>111</v>
      </c>
      <c r="C23" s="5" t="s">
        <v>112</v>
      </c>
      <c r="D23" s="5" t="s">
        <v>132</v>
      </c>
      <c r="E23" s="5" t="s">
        <v>115</v>
      </c>
      <c r="F23" s="5" t="s">
        <v>133</v>
      </c>
    </row>
    <row r="24" customFormat="false" ht="15" hidden="false" customHeight="false" outlineLevel="0" collapsed="false">
      <c r="A24" s="13" t="s">
        <v>45</v>
      </c>
      <c r="B24" s="7" t="n">
        <v>21486</v>
      </c>
      <c r="C24" s="7" t="n">
        <v>16457</v>
      </c>
      <c r="D24" s="7" t="n">
        <v>12532</v>
      </c>
      <c r="E24" s="14" t="n">
        <f aca="false">IFERROR(C24/B24,0)</f>
        <v>0.765940612491855</v>
      </c>
      <c r="F24" s="14" t="n">
        <f aca="false">IFERROR(D24/C24,0)</f>
        <v>0.76149966579571</v>
      </c>
    </row>
    <row r="25" customFormat="false" ht="15" hidden="false" customHeight="false" outlineLevel="0" collapsed="false">
      <c r="A25" s="13" t="s">
        <v>60</v>
      </c>
      <c r="B25" s="7" t="n">
        <v>13278</v>
      </c>
      <c r="C25" s="7" t="n">
        <v>11577</v>
      </c>
      <c r="D25" s="7" t="n">
        <v>9624</v>
      </c>
      <c r="E25" s="14" t="n">
        <f aca="false">IFERROR(C25/B25,0)</f>
        <v>0.871893357433348</v>
      </c>
      <c r="F25" s="14" t="n">
        <f aca="false">IFERROR(D25/C25,0)</f>
        <v>0.831303446488728</v>
      </c>
    </row>
    <row r="26" customFormat="false" ht="15" hidden="false" customHeight="false" outlineLevel="0" collapsed="false">
      <c r="A26" s="13" t="s">
        <v>41</v>
      </c>
      <c r="B26" s="7" t="n">
        <v>7362</v>
      </c>
      <c r="C26" s="7" t="n">
        <v>6437</v>
      </c>
      <c r="D26" s="7" t="n">
        <v>5042</v>
      </c>
      <c r="E26" s="14" t="n">
        <f aca="false">IFERROR(C26/B26,0)</f>
        <v>0.874354794892692</v>
      </c>
      <c r="F26" s="14" t="n">
        <f aca="false">IFERROR(D26/C26,0)</f>
        <v>0.78328413857387</v>
      </c>
    </row>
    <row r="27" customFormat="false" ht="15" hidden="false" customHeight="false" outlineLevel="0" collapsed="false">
      <c r="A27" s="13" t="s">
        <v>33</v>
      </c>
      <c r="B27" s="7" t="n">
        <v>3172</v>
      </c>
      <c r="C27" s="7" t="n">
        <v>2772</v>
      </c>
      <c r="D27" s="7" t="n">
        <v>2195</v>
      </c>
      <c r="E27" s="14" t="n">
        <f aca="false">IFERROR(C27/B27,0)</f>
        <v>0.873896595208071</v>
      </c>
      <c r="F27" s="14" t="n">
        <f aca="false">IFERROR(D27/C27,0)</f>
        <v>0.791847041847042</v>
      </c>
    </row>
    <row r="28" customFormat="false" ht="15" hidden="false" customHeight="false" outlineLevel="0" collapsed="false">
      <c r="A28" s="13" t="s">
        <v>48</v>
      </c>
      <c r="B28" s="7" t="n">
        <v>0</v>
      </c>
      <c r="C28" s="7" t="n">
        <v>0</v>
      </c>
      <c r="D28" s="7" t="n">
        <v>31</v>
      </c>
      <c r="E28" s="14" t="n">
        <f aca="false">IFERROR(C28/B28,0)</f>
        <v>0</v>
      </c>
      <c r="F28" s="14" t="n">
        <f aca="false">IFERROR(D28/C28,0)</f>
        <v>0</v>
      </c>
    </row>
    <row r="29" customFormat="false" ht="15" hidden="false" customHeight="false" outlineLevel="0" collapsed="false">
      <c r="A29" s="15" t="s">
        <v>120</v>
      </c>
      <c r="B29" s="16" t="n">
        <f aca="false">SUM(B24:B28)</f>
        <v>45298</v>
      </c>
      <c r="C29" s="16" t="n">
        <f aca="false">SUM(C24:C28)</f>
        <v>37243</v>
      </c>
      <c r="D29" s="16" t="n">
        <f aca="false">SUM(D24:D28)</f>
        <v>29424</v>
      </c>
      <c r="E29" s="17" t="n">
        <f aca="false">IFERROR(C29/B29,0)</f>
        <v>0.822177579584088</v>
      </c>
      <c r="F29" s="17" t="n">
        <f aca="false">IFERROR(D29/C29,0)</f>
        <v>0.7900545068872</v>
      </c>
    </row>
    <row r="31" customFormat="false" ht="15" hidden="false" customHeight="false" outlineLevel="0" collapsed="false">
      <c r="A31" s="11" t="s">
        <v>109</v>
      </c>
      <c r="B31" s="12"/>
      <c r="C31" s="12"/>
      <c r="D31" s="12"/>
      <c r="E31" s="12"/>
      <c r="F31" s="12"/>
      <c r="G31" s="12"/>
      <c r="H31" s="12"/>
      <c r="I31" s="12"/>
    </row>
    <row r="32" customFormat="false" ht="27.75" hidden="false" customHeight="true" outlineLevel="0" collapsed="false">
      <c r="A32" s="5" t="s">
        <v>110</v>
      </c>
      <c r="B32" s="5" t="s">
        <v>111</v>
      </c>
      <c r="C32" s="5" t="s">
        <v>112</v>
      </c>
      <c r="D32" s="5" t="s">
        <v>113</v>
      </c>
      <c r="E32" s="5" t="s">
        <v>114</v>
      </c>
      <c r="F32" s="5" t="s">
        <v>115</v>
      </c>
      <c r="G32" s="5" t="s">
        <v>116</v>
      </c>
      <c r="H32" s="5" t="s">
        <v>117</v>
      </c>
      <c r="I32" s="5" t="s">
        <v>118</v>
      </c>
    </row>
    <row r="33" customFormat="false" ht="15" hidden="false" customHeight="false" outlineLevel="0" collapsed="false">
      <c r="A33" s="13" t="s">
        <v>45</v>
      </c>
      <c r="B33" s="7" t="n">
        <v>522649</v>
      </c>
      <c r="C33" s="7" t="n">
        <v>518339</v>
      </c>
      <c r="D33" s="7" t="n">
        <v>43943</v>
      </c>
      <c r="E33" s="7" t="n">
        <v>1308</v>
      </c>
      <c r="F33" s="14" t="n">
        <f aca="false">IFERROR(C33/B33,0)</f>
        <v>0.991753547792113</v>
      </c>
      <c r="G33" s="14" t="n">
        <f aca="false">IFERROR(D33/C33,0)</f>
        <v>0.0847765651436608</v>
      </c>
      <c r="H33" s="14" t="n">
        <f aca="false">IFERROR(E33/C33,0)</f>
        <v>0.00252344508130779</v>
      </c>
      <c r="I33" s="14" t="n">
        <f aca="false">IFERROR(E33/D33,0)</f>
        <v>0.029765833010946</v>
      </c>
    </row>
    <row r="34" customFormat="false" ht="15" hidden="false" customHeight="false" outlineLevel="0" collapsed="false">
      <c r="A34" s="13" t="s">
        <v>60</v>
      </c>
      <c r="B34" s="7" t="n">
        <v>532120</v>
      </c>
      <c r="C34" s="7" t="n">
        <v>527316</v>
      </c>
      <c r="D34" s="7" t="n">
        <v>46646</v>
      </c>
      <c r="E34" s="7" t="n">
        <v>1189</v>
      </c>
      <c r="F34" s="14" t="n">
        <f aca="false">IFERROR(C34/B34,0)</f>
        <v>0.990971961211757</v>
      </c>
      <c r="G34" s="14" t="n">
        <f aca="false">IFERROR(D34/C34,0)</f>
        <v>0.0884592919615563</v>
      </c>
      <c r="H34" s="14" t="n">
        <f aca="false">IFERROR(E34/C34,0)</f>
        <v>0.00225481494966965</v>
      </c>
      <c r="I34" s="14" t="n">
        <f aca="false">IFERROR(E34/D34,0)</f>
        <v>0.0254898597950521</v>
      </c>
    </row>
    <row r="35" customFormat="false" ht="15" hidden="false" customHeight="false" outlineLevel="0" collapsed="false">
      <c r="A35" s="13" t="s">
        <v>41</v>
      </c>
      <c r="B35" s="7" t="n">
        <v>188140</v>
      </c>
      <c r="C35" s="7" t="n">
        <v>185797</v>
      </c>
      <c r="D35" s="7" t="n">
        <v>18288</v>
      </c>
      <c r="E35" s="7" t="n">
        <v>593</v>
      </c>
      <c r="F35" s="14" t="n">
        <f aca="false">IFERROR(C35/B35,0)</f>
        <v>0.987546507919634</v>
      </c>
      <c r="G35" s="14" t="n">
        <f aca="false">IFERROR(D35/C35,0)</f>
        <v>0.0984300069430615</v>
      </c>
      <c r="H35" s="14" t="n">
        <f aca="false">IFERROR(E35/C35,0)</f>
        <v>0.00319165540886021</v>
      </c>
      <c r="I35" s="14" t="n">
        <f aca="false">IFERROR(E35/D35,0)</f>
        <v>0.032425634295713</v>
      </c>
    </row>
    <row r="36" customFormat="false" ht="15" hidden="false" customHeight="false" outlineLevel="0" collapsed="false">
      <c r="A36" s="13" t="s">
        <v>33</v>
      </c>
      <c r="B36" s="7" t="n">
        <v>74264</v>
      </c>
      <c r="C36" s="7" t="n">
        <v>73222</v>
      </c>
      <c r="D36" s="7" t="n">
        <v>7208</v>
      </c>
      <c r="E36" s="7" t="n">
        <v>261</v>
      </c>
      <c r="F36" s="14" t="n">
        <f aca="false">IFERROR(C36/B36,0)</f>
        <v>0.985968975546698</v>
      </c>
      <c r="G36" s="14" t="n">
        <f aca="false">IFERROR(D36/C36,0)</f>
        <v>0.0984403594548087</v>
      </c>
      <c r="H36" s="14" t="n">
        <f aca="false">IFERROR(E36/C36,0)</f>
        <v>0.00356450247193466</v>
      </c>
      <c r="I36" s="14" t="n">
        <f aca="false">IFERROR(E36/D36,0)</f>
        <v>0.0362097669256382</v>
      </c>
    </row>
    <row r="37" customFormat="false" ht="15" hidden="false" customHeight="false" outlineLevel="0" collapsed="false">
      <c r="A37" s="15" t="s">
        <v>120</v>
      </c>
      <c r="B37" s="16" t="n">
        <f aca="false">SUM(B33:B36)</f>
        <v>1317173</v>
      </c>
      <c r="C37" s="16" t="n">
        <f aca="false">SUM(C33:C36)</f>
        <v>1304674</v>
      </c>
      <c r="D37" s="16" t="n">
        <f aca="false">SUM(D33:D36)</f>
        <v>116085</v>
      </c>
      <c r="E37" s="16" t="n">
        <f aca="false">SUM(E33:E36)</f>
        <v>3351</v>
      </c>
      <c r="F37" s="17" t="n">
        <f aca="false">IFERROR(C37/B37,0)</f>
        <v>0.99051073776945</v>
      </c>
      <c r="G37" s="17" t="n">
        <f aca="false">IFERROR(D37/C37,0)</f>
        <v>0.0889762500057486</v>
      </c>
      <c r="H37" s="17" t="n">
        <f aca="false">IFERROR(E37/C37,0)</f>
        <v>0.0025684577143409</v>
      </c>
      <c r="I37" s="17" t="n">
        <f aca="false">IFERROR(E37/D37,0)</f>
        <v>0.0288667786535728</v>
      </c>
    </row>
    <row r="39" customFormat="false" ht="15" hidden="false" customHeight="false" outlineLevel="0" collapsed="false">
      <c r="A39" s="11" t="s">
        <v>121</v>
      </c>
      <c r="B39" s="12"/>
      <c r="C39" s="12"/>
      <c r="D39" s="12"/>
      <c r="E39" s="12"/>
      <c r="F39" s="12"/>
      <c r="G39" s="12"/>
      <c r="H39" s="12"/>
    </row>
    <row r="40" customFormat="false" ht="27.75" hidden="false" customHeight="true" outlineLevel="0" collapsed="false">
      <c r="A40" s="5" t="s">
        <v>110</v>
      </c>
      <c r="B40" s="5" t="s">
        <v>111</v>
      </c>
      <c r="C40" s="5" t="s">
        <v>122</v>
      </c>
      <c r="D40" s="5" t="s">
        <v>123</v>
      </c>
      <c r="E40" s="5" t="s">
        <v>124</v>
      </c>
      <c r="F40" s="5" t="s">
        <v>125</v>
      </c>
      <c r="G40" s="5" t="s">
        <v>126</v>
      </c>
      <c r="H40" s="5" t="s">
        <v>127</v>
      </c>
    </row>
    <row r="41" customFormat="false" ht="15" hidden="false" customHeight="false" outlineLevel="0" collapsed="false">
      <c r="A41" s="13" t="s">
        <v>33</v>
      </c>
      <c r="B41" s="7" t="n">
        <v>6963</v>
      </c>
      <c r="C41" s="7" t="n">
        <v>5067</v>
      </c>
      <c r="D41" s="7" t="n">
        <v>1896</v>
      </c>
      <c r="E41" s="7" t="n">
        <v>42</v>
      </c>
      <c r="F41" s="14" t="n">
        <f aca="false">IFERROR(C41/B41,0)</f>
        <v>0.727703576044808</v>
      </c>
      <c r="G41" s="14" t="n">
        <f aca="false">IFERROR(D41/B41,0)</f>
        <v>0.272296423955192</v>
      </c>
      <c r="H41" s="14" t="n">
        <f aca="false">IFERROR(E41/B41,0)</f>
        <v>0.00603188280913399</v>
      </c>
    </row>
    <row r="42" customFormat="false" ht="15" hidden="false" customHeight="false" outlineLevel="0" collapsed="false">
      <c r="A42" s="15" t="s">
        <v>120</v>
      </c>
      <c r="B42" s="16" t="n">
        <f aca="false">SUM(B41:B41)</f>
        <v>6963</v>
      </c>
      <c r="C42" s="16" t="n">
        <f aca="false">SUM(C41:C41)</f>
        <v>5067</v>
      </c>
      <c r="D42" s="16" t="n">
        <f aca="false">SUM(D41:D41)</f>
        <v>1896</v>
      </c>
      <c r="E42" s="16" t="n">
        <f aca="false">SUM(E41:E41)</f>
        <v>42</v>
      </c>
      <c r="F42" s="17" t="n">
        <f aca="false">IFERROR(C42/B42,0)</f>
        <v>0.727703576044808</v>
      </c>
      <c r="G42" s="17" t="n">
        <f aca="false">IFERROR(D42/B42,0)</f>
        <v>0.272296423955192</v>
      </c>
      <c r="H42" s="17" t="n">
        <f aca="false">IFERROR(E42/B42,0)</f>
        <v>0.00603188280913399</v>
      </c>
    </row>
    <row r="45" customFormat="false" ht="15" hidden="false" customHeight="false" outlineLevel="0" collapsed="false">
      <c r="A45" s="18" t="s">
        <v>128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7" customFormat="false" ht="15" hidden="false" customHeight="false" outlineLevel="0" collapsed="false">
      <c r="A47" s="3" t="s">
        <v>251</v>
      </c>
    </row>
    <row r="48" customFormat="false" ht="15" hidden="false" customHeight="false" outlineLevel="0" collapsed="false">
      <c r="A48" s="2" t="s">
        <v>252</v>
      </c>
    </row>
    <row r="50" customFormat="false" ht="15" hidden="false" customHeight="false" outlineLevel="0" collapsed="false">
      <c r="A50" s="11" t="s">
        <v>131</v>
      </c>
      <c r="B50" s="12"/>
      <c r="C50" s="12"/>
      <c r="D50" s="12"/>
      <c r="E50" s="12"/>
      <c r="F50" s="12"/>
    </row>
    <row r="51" customFormat="false" ht="27.75" hidden="false" customHeight="true" outlineLevel="0" collapsed="false">
      <c r="A51" s="5" t="s">
        <v>110</v>
      </c>
      <c r="B51" s="5" t="s">
        <v>111</v>
      </c>
      <c r="C51" s="5" t="s">
        <v>112</v>
      </c>
      <c r="D51" s="5" t="s">
        <v>132</v>
      </c>
      <c r="E51" s="5" t="s">
        <v>115</v>
      </c>
      <c r="F51" s="5" t="s">
        <v>133</v>
      </c>
    </row>
    <row r="52" customFormat="false" ht="15" hidden="false" customHeight="false" outlineLevel="0" collapsed="false">
      <c r="A52" s="13" t="s">
        <v>51</v>
      </c>
      <c r="B52" s="7" t="n">
        <v>11125</v>
      </c>
      <c r="C52" s="7" t="n">
        <v>10569</v>
      </c>
      <c r="D52" s="7" t="n">
        <v>9018</v>
      </c>
      <c r="E52" s="14" t="n">
        <f aca="false">IFERROR(C52/B52,0)</f>
        <v>0.950022471910112</v>
      </c>
      <c r="F52" s="14" t="n">
        <f aca="false">IFERROR(D52/C52,0)</f>
        <v>0.853250070962248</v>
      </c>
    </row>
    <row r="53" customFormat="false" ht="15" hidden="false" customHeight="false" outlineLevel="0" collapsed="false">
      <c r="A53" s="13" t="s">
        <v>38</v>
      </c>
      <c r="B53" s="7" t="n">
        <v>2455</v>
      </c>
      <c r="C53" s="7" t="n">
        <v>2284</v>
      </c>
      <c r="D53" s="7" t="n">
        <v>2002</v>
      </c>
      <c r="E53" s="14" t="n">
        <f aca="false">IFERROR(C53/B53,0)</f>
        <v>0.930346232179226</v>
      </c>
      <c r="F53" s="14" t="n">
        <f aca="false">IFERROR(D53/C53,0)</f>
        <v>0.876532399299475</v>
      </c>
    </row>
    <row r="54" customFormat="false" ht="15" hidden="false" customHeight="false" outlineLevel="0" collapsed="false">
      <c r="A54" s="13" t="s">
        <v>53</v>
      </c>
      <c r="B54" s="7" t="n">
        <v>8403</v>
      </c>
      <c r="C54" s="7" t="n">
        <v>7625</v>
      </c>
      <c r="D54" s="7" t="n">
        <v>6257</v>
      </c>
      <c r="E54" s="14" t="n">
        <f aca="false">IFERROR(C54/B54,0)</f>
        <v>0.907414018802809</v>
      </c>
      <c r="F54" s="14" t="n">
        <f aca="false">IFERROR(D54/C54,0)</f>
        <v>0.820590163934426</v>
      </c>
    </row>
    <row r="55" customFormat="false" ht="15" hidden="false" customHeight="false" outlineLevel="0" collapsed="false">
      <c r="A55" s="13" t="s">
        <v>134</v>
      </c>
      <c r="B55" s="7" t="n">
        <v>9945</v>
      </c>
      <c r="C55" s="7" t="n">
        <v>8924</v>
      </c>
      <c r="D55" s="7" t="n">
        <v>7420</v>
      </c>
      <c r="E55" s="14" t="n">
        <f aca="false">IFERROR(C55/B55,0)</f>
        <v>0.897335344394168</v>
      </c>
      <c r="F55" s="14" t="n">
        <f aca="false">IFERROR(D55/C55,0)</f>
        <v>0.831465710443747</v>
      </c>
    </row>
    <row r="56" customFormat="false" ht="15" hidden="false" customHeight="false" outlineLevel="0" collapsed="false">
      <c r="A56" s="13" t="s">
        <v>135</v>
      </c>
      <c r="B56" s="7" t="n">
        <v>994</v>
      </c>
      <c r="C56" s="7" t="n">
        <v>885</v>
      </c>
      <c r="D56" s="7" t="n">
        <v>835</v>
      </c>
      <c r="E56" s="14" t="n">
        <f aca="false">IFERROR(C56/B56,0)</f>
        <v>0.890342052313883</v>
      </c>
      <c r="F56" s="14" t="n">
        <f aca="false">IFERROR(D56/C56,0)</f>
        <v>0.943502824858757</v>
      </c>
    </row>
    <row r="57" customFormat="false" ht="15" hidden="false" customHeight="false" outlineLevel="0" collapsed="false">
      <c r="A57" s="13" t="s">
        <v>30</v>
      </c>
      <c r="B57" s="7" t="n">
        <v>77</v>
      </c>
      <c r="C57" s="7" t="n">
        <v>63</v>
      </c>
      <c r="D57" s="7" t="n">
        <v>56</v>
      </c>
      <c r="E57" s="14" t="n">
        <f aca="false">IFERROR(C57/B57,0)</f>
        <v>0.818181818181818</v>
      </c>
      <c r="F57" s="14" t="n">
        <f aca="false">IFERROR(D57/C57,0)</f>
        <v>0.888888888888889</v>
      </c>
    </row>
    <row r="58" customFormat="false" ht="15" hidden="false" customHeight="false" outlineLevel="0" collapsed="false">
      <c r="A58" s="13" t="s">
        <v>119</v>
      </c>
      <c r="B58" s="7" t="n">
        <v>29982</v>
      </c>
      <c r="C58" s="7" t="n">
        <v>27923</v>
      </c>
      <c r="D58" s="7" t="n">
        <v>22631</v>
      </c>
      <c r="E58" s="14" t="n">
        <f aca="false">IFERROR(C58/B58,0)</f>
        <v>0.931325461943833</v>
      </c>
      <c r="F58" s="14" t="n">
        <f aca="false">IFERROR(D58/C58,0)</f>
        <v>0.810478816746052</v>
      </c>
    </row>
    <row r="59" customFormat="false" ht="15" hidden="false" customHeight="false" outlineLevel="0" collapsed="false">
      <c r="A59" s="13" t="s">
        <v>45</v>
      </c>
      <c r="B59" s="7" t="n">
        <v>11676</v>
      </c>
      <c r="C59" s="7" t="n">
        <v>10890</v>
      </c>
      <c r="D59" s="7" t="n">
        <v>8874</v>
      </c>
      <c r="E59" s="14" t="n">
        <f aca="false">IFERROR(C59/B59,0)</f>
        <v>0.932682425488181</v>
      </c>
      <c r="F59" s="14" t="n">
        <f aca="false">IFERROR(D59/C59,0)</f>
        <v>0.814876033057851</v>
      </c>
    </row>
    <row r="60" customFormat="false" ht="15" hidden="false" customHeight="false" outlineLevel="0" collapsed="false">
      <c r="A60" s="13" t="s">
        <v>60</v>
      </c>
      <c r="B60" s="7" t="n">
        <v>8422</v>
      </c>
      <c r="C60" s="7" t="n">
        <v>7949</v>
      </c>
      <c r="D60" s="7" t="n">
        <v>6378</v>
      </c>
      <c r="E60" s="14" t="n">
        <f aca="false">IFERROR(C60/B60,0)</f>
        <v>0.943837568273569</v>
      </c>
      <c r="F60" s="14" t="n">
        <f aca="false">IFERROR(D60/C60,0)</f>
        <v>0.802365077368222</v>
      </c>
    </row>
    <row r="61" customFormat="false" ht="15" hidden="false" customHeight="false" outlineLevel="0" collapsed="false">
      <c r="A61" s="13" t="s">
        <v>41</v>
      </c>
      <c r="B61" s="7" t="n">
        <v>3152</v>
      </c>
      <c r="C61" s="7" t="n">
        <v>2362</v>
      </c>
      <c r="D61" s="7" t="n">
        <v>1797</v>
      </c>
      <c r="E61" s="14" t="n">
        <f aca="false">IFERROR(C61/B61,0)</f>
        <v>0.749365482233503</v>
      </c>
      <c r="F61" s="14" t="n">
        <f aca="false">IFERROR(D61/C61,0)</f>
        <v>0.760795935647756</v>
      </c>
    </row>
    <row r="62" customFormat="false" ht="15" hidden="false" customHeight="false" outlineLevel="0" collapsed="false">
      <c r="A62" s="13" t="s">
        <v>33</v>
      </c>
      <c r="B62" s="7" t="n">
        <v>8269</v>
      </c>
      <c r="C62" s="7" t="n">
        <v>7731</v>
      </c>
      <c r="D62" s="7" t="n">
        <v>5970</v>
      </c>
      <c r="E62" s="14" t="n">
        <f aca="false">IFERROR(C62/B62,0)</f>
        <v>0.934937719192164</v>
      </c>
      <c r="F62" s="14" t="n">
        <f aca="false">IFERROR(D62/C62,0)</f>
        <v>0.77221575475359</v>
      </c>
    </row>
    <row r="63" customFormat="false" ht="15" hidden="false" customHeight="false" outlineLevel="0" collapsed="false">
      <c r="A63" s="13" t="s">
        <v>48</v>
      </c>
      <c r="B63" s="7" t="n">
        <v>5364</v>
      </c>
      <c r="C63" s="7" t="n">
        <v>4992</v>
      </c>
      <c r="D63" s="7" t="n">
        <v>3672</v>
      </c>
      <c r="E63" s="14" t="n">
        <f aca="false">IFERROR(C63/B63,0)</f>
        <v>0.930648769574944</v>
      </c>
      <c r="F63" s="14" t="n">
        <f aca="false">IFERROR(D63/C63,0)</f>
        <v>0.735576923076923</v>
      </c>
    </row>
    <row r="64" customFormat="false" ht="15" hidden="false" customHeight="false" outlineLevel="0" collapsed="false">
      <c r="A64" s="13" t="s">
        <v>31</v>
      </c>
      <c r="B64" s="7" t="n">
        <v>4689</v>
      </c>
      <c r="C64" s="7" t="n">
        <v>4380</v>
      </c>
      <c r="D64" s="7" t="n">
        <v>3400</v>
      </c>
      <c r="E64" s="14" t="n">
        <f aca="false">IFERROR(C64/B64,0)</f>
        <v>0.934101087651951</v>
      </c>
      <c r="F64" s="14" t="n">
        <f aca="false">IFERROR(D64/C64,0)</f>
        <v>0.776255707762557</v>
      </c>
    </row>
    <row r="65" customFormat="false" ht="15" hidden="false" customHeight="false" outlineLevel="0" collapsed="false">
      <c r="A65" s="15" t="s">
        <v>120</v>
      </c>
      <c r="B65" s="16" t="n">
        <f aca="false">SUM(B52:B64)</f>
        <v>104553</v>
      </c>
      <c r="C65" s="16" t="n">
        <f aca="false">SUM(C52:C64)</f>
        <v>96577</v>
      </c>
      <c r="D65" s="16" t="n">
        <f aca="false">SUM(D52:D64)</f>
        <v>78310</v>
      </c>
      <c r="E65" s="17" t="n">
        <f aca="false">IFERROR(C65/B65,0)</f>
        <v>0.9237133319943</v>
      </c>
      <c r="F65" s="17" t="n">
        <f aca="false">IFERROR(D65/C65,0)</f>
        <v>0.810855586733902</v>
      </c>
    </row>
    <row r="67" customFormat="false" ht="15" hidden="false" customHeight="false" outlineLevel="0" collapsed="false">
      <c r="A67" s="11" t="s">
        <v>109</v>
      </c>
      <c r="B67" s="12"/>
      <c r="C67" s="12"/>
      <c r="D67" s="12"/>
      <c r="E67" s="12"/>
      <c r="F67" s="12"/>
      <c r="G67" s="12"/>
      <c r="H67" s="12"/>
      <c r="I67" s="12"/>
    </row>
    <row r="68" customFormat="false" ht="27.75" hidden="false" customHeight="true" outlineLevel="0" collapsed="false">
      <c r="A68" s="5" t="s">
        <v>110</v>
      </c>
      <c r="B68" s="5" t="s">
        <v>111</v>
      </c>
      <c r="C68" s="5" t="s">
        <v>112</v>
      </c>
      <c r="D68" s="5" t="s">
        <v>113</v>
      </c>
      <c r="E68" s="5" t="s">
        <v>114</v>
      </c>
      <c r="F68" s="5" t="s">
        <v>115</v>
      </c>
      <c r="G68" s="5" t="s">
        <v>116</v>
      </c>
      <c r="H68" s="5" t="s">
        <v>117</v>
      </c>
      <c r="I68" s="5" t="s">
        <v>118</v>
      </c>
    </row>
    <row r="69" customFormat="false" ht="15" hidden="false" customHeight="false" outlineLevel="0" collapsed="false">
      <c r="A69" s="13" t="s">
        <v>30</v>
      </c>
      <c r="B69" s="7" t="n">
        <v>285</v>
      </c>
      <c r="C69" s="7" t="n">
        <v>271</v>
      </c>
      <c r="D69" s="7" t="n">
        <v>9</v>
      </c>
      <c r="E69" s="7" t="n">
        <v>1</v>
      </c>
      <c r="F69" s="14" t="n">
        <f aca="false">IFERROR(C69/B69,0)</f>
        <v>0.950877192982456</v>
      </c>
      <c r="G69" s="14" t="n">
        <f aca="false">IFERROR(D69/C69,0)</f>
        <v>0.033210332103321</v>
      </c>
      <c r="H69" s="14" t="n">
        <f aca="false">IFERROR(E69/C69,0)</f>
        <v>0.003690036900369</v>
      </c>
      <c r="I69" s="14" t="n">
        <f aca="false">IFERROR(E69/D69,0)</f>
        <v>0.111111111111111</v>
      </c>
    </row>
    <row r="70" customFormat="false" ht="15" hidden="false" customHeight="false" outlineLevel="0" collapsed="false">
      <c r="A70" s="13" t="s">
        <v>119</v>
      </c>
      <c r="B70" s="7" t="n">
        <v>1513</v>
      </c>
      <c r="C70" s="7" t="n">
        <v>1064</v>
      </c>
      <c r="D70" s="7" t="n">
        <v>199</v>
      </c>
      <c r="E70" s="7" t="n">
        <v>10</v>
      </c>
      <c r="F70" s="14" t="n">
        <f aca="false">IFERROR(C70/B70,0)</f>
        <v>0.703238598810311</v>
      </c>
      <c r="G70" s="14" t="n">
        <f aca="false">IFERROR(D70/C70,0)</f>
        <v>0.18703007518797</v>
      </c>
      <c r="H70" s="14" t="n">
        <f aca="false">IFERROR(E70/C70,0)</f>
        <v>0.0093984962406015</v>
      </c>
      <c r="I70" s="14" t="n">
        <f aca="false">IFERROR(E70/D70,0)</f>
        <v>0.050251256281407</v>
      </c>
    </row>
    <row r="71" customFormat="false" ht="15" hidden="false" customHeight="false" outlineLevel="0" collapsed="false">
      <c r="A71" s="13" t="s">
        <v>45</v>
      </c>
      <c r="B71" s="7" t="n">
        <v>1658</v>
      </c>
      <c r="C71" s="7" t="n">
        <v>1066</v>
      </c>
      <c r="D71" s="7" t="n">
        <v>190</v>
      </c>
      <c r="E71" s="7" t="n">
        <v>11</v>
      </c>
      <c r="F71" s="14" t="n">
        <f aca="false">IFERROR(C71/B71,0)</f>
        <v>0.642943305186972</v>
      </c>
      <c r="G71" s="14" t="n">
        <f aca="false">IFERROR(D71/C71,0)</f>
        <v>0.178236397748593</v>
      </c>
      <c r="H71" s="14" t="n">
        <f aca="false">IFERROR(E71/C71,0)</f>
        <v>0.0103189493433396</v>
      </c>
      <c r="I71" s="14" t="n">
        <f aca="false">IFERROR(E71/D71,0)</f>
        <v>0.0578947368421053</v>
      </c>
    </row>
    <row r="72" customFormat="false" ht="15" hidden="false" customHeight="false" outlineLevel="0" collapsed="false">
      <c r="A72" s="13" t="s">
        <v>60</v>
      </c>
      <c r="B72" s="7" t="n">
        <v>1114</v>
      </c>
      <c r="C72" s="7" t="n">
        <v>753</v>
      </c>
      <c r="D72" s="7" t="n">
        <v>155</v>
      </c>
      <c r="E72" s="7" t="n">
        <v>17</v>
      </c>
      <c r="F72" s="14" t="n">
        <f aca="false">IFERROR(C72/B72,0)</f>
        <v>0.675942549371634</v>
      </c>
      <c r="G72" s="14" t="n">
        <f aca="false">IFERROR(D72/C72,0)</f>
        <v>0.205843293492696</v>
      </c>
      <c r="H72" s="14" t="n">
        <f aca="false">IFERROR(E72/C72,0)</f>
        <v>0.0225763612217796</v>
      </c>
      <c r="I72" s="14" t="n">
        <f aca="false">IFERROR(E72/D72,0)</f>
        <v>0.109677419354839</v>
      </c>
    </row>
    <row r="73" customFormat="false" ht="15" hidden="false" customHeight="false" outlineLevel="0" collapsed="false">
      <c r="A73" s="13" t="s">
        <v>41</v>
      </c>
      <c r="B73" s="7" t="n">
        <v>346</v>
      </c>
      <c r="C73" s="7" t="n">
        <v>337</v>
      </c>
      <c r="D73" s="7" t="n">
        <v>59</v>
      </c>
      <c r="E73" s="7" t="n">
        <v>0</v>
      </c>
      <c r="F73" s="14" t="n">
        <f aca="false">IFERROR(C73/B73,0)</f>
        <v>0.973988439306358</v>
      </c>
      <c r="G73" s="14" t="n">
        <f aca="false">IFERROR(D73/C73,0)</f>
        <v>0.175074183976261</v>
      </c>
      <c r="H73" s="14" t="n">
        <f aca="false">IFERROR(E73/C73,0)</f>
        <v>0</v>
      </c>
      <c r="I73" s="14" t="n">
        <f aca="false">IFERROR(E73/D73,0)</f>
        <v>0</v>
      </c>
    </row>
    <row r="74" customFormat="false" ht="15" hidden="false" customHeight="false" outlineLevel="0" collapsed="false">
      <c r="A74" s="13" t="s">
        <v>33</v>
      </c>
      <c r="B74" s="7" t="n">
        <v>744</v>
      </c>
      <c r="C74" s="7" t="n">
        <v>725</v>
      </c>
      <c r="D74" s="7" t="n">
        <v>126</v>
      </c>
      <c r="E74" s="7" t="n">
        <v>3</v>
      </c>
      <c r="F74" s="14" t="n">
        <f aca="false">IFERROR(C74/B74,0)</f>
        <v>0.974462365591398</v>
      </c>
      <c r="G74" s="14" t="n">
        <f aca="false">IFERROR(D74/C74,0)</f>
        <v>0.173793103448276</v>
      </c>
      <c r="H74" s="14" t="n">
        <f aca="false">IFERROR(E74/C74,0)</f>
        <v>0.00413793103448276</v>
      </c>
      <c r="I74" s="14" t="n">
        <f aca="false">IFERROR(E74/D74,0)</f>
        <v>0.0238095238095238</v>
      </c>
    </row>
    <row r="75" customFormat="false" ht="15" hidden="false" customHeight="false" outlineLevel="0" collapsed="false">
      <c r="A75" s="13" t="s">
        <v>48</v>
      </c>
      <c r="B75" s="7" t="n">
        <v>960</v>
      </c>
      <c r="C75" s="7" t="n">
        <v>947</v>
      </c>
      <c r="D75" s="7" t="n">
        <v>170</v>
      </c>
      <c r="E75" s="7" t="n">
        <v>7</v>
      </c>
      <c r="F75" s="14" t="n">
        <f aca="false">IFERROR(C75/B75,0)</f>
        <v>0.986458333333333</v>
      </c>
      <c r="G75" s="14" t="n">
        <f aca="false">IFERROR(D75/C75,0)</f>
        <v>0.179514255543823</v>
      </c>
      <c r="H75" s="14" t="n">
        <f aca="false">IFERROR(E75/C75,0)</f>
        <v>0.00739176346356917</v>
      </c>
      <c r="I75" s="14" t="n">
        <f aca="false">IFERROR(E75/D75,0)</f>
        <v>0.0411764705882353</v>
      </c>
    </row>
    <row r="76" customFormat="false" ht="15" hidden="false" customHeight="false" outlineLevel="0" collapsed="false">
      <c r="A76" s="13" t="s">
        <v>31</v>
      </c>
      <c r="B76" s="7" t="n">
        <v>442</v>
      </c>
      <c r="C76" s="7" t="n">
        <v>437</v>
      </c>
      <c r="D76" s="7" t="n">
        <v>81</v>
      </c>
      <c r="E76" s="7" t="n">
        <v>5</v>
      </c>
      <c r="F76" s="14" t="n">
        <f aca="false">IFERROR(C76/B76,0)</f>
        <v>0.98868778280543</v>
      </c>
      <c r="G76" s="14" t="n">
        <f aca="false">IFERROR(D76/C76,0)</f>
        <v>0.185354691075515</v>
      </c>
      <c r="H76" s="14" t="n">
        <f aca="false">IFERROR(E76/C76,0)</f>
        <v>0.011441647597254</v>
      </c>
      <c r="I76" s="14" t="n">
        <f aca="false">IFERROR(E76/D76,0)</f>
        <v>0.0617283950617284</v>
      </c>
    </row>
    <row r="77" customFormat="false" ht="15" hidden="false" customHeight="false" outlineLevel="0" collapsed="false">
      <c r="A77" s="15" t="s">
        <v>120</v>
      </c>
      <c r="B77" s="16" t="n">
        <f aca="false">SUM(B69:B76)</f>
        <v>7062</v>
      </c>
      <c r="C77" s="16" t="n">
        <f aca="false">SUM(C69:C76)</f>
        <v>5600</v>
      </c>
      <c r="D77" s="16" t="n">
        <f aca="false">SUM(D69:D76)</f>
        <v>989</v>
      </c>
      <c r="E77" s="16" t="n">
        <f aca="false">SUM(E69:E76)</f>
        <v>54</v>
      </c>
      <c r="F77" s="17" t="n">
        <f aca="false">IFERROR(C77/B77,0)</f>
        <v>0.792976493911073</v>
      </c>
      <c r="G77" s="17" t="n">
        <f aca="false">IFERROR(D77/C77,0)</f>
        <v>0.176607142857143</v>
      </c>
      <c r="H77" s="17" t="n">
        <f aca="false">IFERROR(E77/C77,0)</f>
        <v>0.00964285714285714</v>
      </c>
      <c r="I77" s="17" t="n">
        <f aca="false">IFERROR(E77/D77,0)</f>
        <v>0.0546006066734075</v>
      </c>
    </row>
    <row r="79" customFormat="false" ht="15" hidden="false" customHeight="false" outlineLevel="0" collapsed="false">
      <c r="A79" s="11" t="s">
        <v>253</v>
      </c>
      <c r="B79" s="12"/>
      <c r="C79" s="12"/>
      <c r="D79" s="12"/>
      <c r="E79" s="12"/>
      <c r="F79" s="12"/>
    </row>
    <row r="80" customFormat="false" ht="27.75" hidden="false" customHeight="true" outlineLevel="0" collapsed="false">
      <c r="A80" s="5" t="s">
        <v>110</v>
      </c>
      <c r="B80" s="5" t="s">
        <v>111</v>
      </c>
      <c r="C80" s="5" t="s">
        <v>112</v>
      </c>
      <c r="D80" s="5" t="s">
        <v>254</v>
      </c>
      <c r="E80" s="5" t="s">
        <v>115</v>
      </c>
      <c r="F80" s="5" t="s">
        <v>126</v>
      </c>
    </row>
    <row r="81" customFormat="false" ht="15" hidden="false" customHeight="false" outlineLevel="0" collapsed="false">
      <c r="A81" s="13" t="s">
        <v>53</v>
      </c>
      <c r="B81" s="7" t="n">
        <v>132</v>
      </c>
      <c r="C81" s="7" t="n">
        <v>123</v>
      </c>
      <c r="D81" s="7" t="n">
        <v>9</v>
      </c>
      <c r="E81" s="14" t="n">
        <f aca="false">IFERROR(C81/B81,0)</f>
        <v>0.931818181818182</v>
      </c>
      <c r="F81" s="14" t="n">
        <f aca="false">IFERROR(D81/B81,0)</f>
        <v>0.0681818181818182</v>
      </c>
    </row>
    <row r="82" customFormat="false" ht="15" hidden="false" customHeight="false" outlineLevel="0" collapsed="false">
      <c r="A82" s="13" t="s">
        <v>134</v>
      </c>
      <c r="B82" s="7" t="n">
        <v>596</v>
      </c>
      <c r="C82" s="7" t="n">
        <v>560</v>
      </c>
      <c r="D82" s="7" t="n">
        <v>36</v>
      </c>
      <c r="E82" s="14" t="n">
        <f aca="false">IFERROR(C82/B82,0)</f>
        <v>0.939597315436242</v>
      </c>
      <c r="F82" s="14" t="n">
        <f aca="false">IFERROR(D82/B82,0)</f>
        <v>0.0604026845637584</v>
      </c>
    </row>
    <row r="83" customFormat="false" ht="15" hidden="false" customHeight="false" outlineLevel="0" collapsed="false">
      <c r="A83" s="13" t="s">
        <v>135</v>
      </c>
      <c r="B83" s="7" t="n">
        <v>406</v>
      </c>
      <c r="C83" s="7" t="n">
        <v>387</v>
      </c>
      <c r="D83" s="7" t="n">
        <v>19</v>
      </c>
      <c r="E83" s="14" t="n">
        <f aca="false">IFERROR(C83/B83,0)</f>
        <v>0.95320197044335</v>
      </c>
      <c r="F83" s="14" t="n">
        <f aca="false">IFERROR(D83/B83,0)</f>
        <v>0.0467980295566502</v>
      </c>
    </row>
    <row r="84" customFormat="false" ht="15" hidden="false" customHeight="false" outlineLevel="0" collapsed="false">
      <c r="A84" s="13" t="s">
        <v>30</v>
      </c>
      <c r="B84" s="7" t="n">
        <v>46</v>
      </c>
      <c r="C84" s="7" t="n">
        <v>43</v>
      </c>
      <c r="D84" s="7" t="n">
        <v>3</v>
      </c>
      <c r="E84" s="14" t="n">
        <f aca="false">IFERROR(C84/B84,0)</f>
        <v>0.934782608695652</v>
      </c>
      <c r="F84" s="14" t="n">
        <f aca="false">IFERROR(D84/B84,0)</f>
        <v>0.0652173913043478</v>
      </c>
    </row>
    <row r="85" customFormat="false" ht="15" hidden="false" customHeight="false" outlineLevel="0" collapsed="false">
      <c r="A85" s="13" t="s">
        <v>119</v>
      </c>
      <c r="B85" s="7" t="n">
        <v>0</v>
      </c>
      <c r="C85" s="7" t="n">
        <v>0</v>
      </c>
      <c r="D85" s="7" t="n">
        <v>0</v>
      </c>
      <c r="E85" s="14" t="n">
        <f aca="false">IFERROR(C85/B85,0)</f>
        <v>0</v>
      </c>
      <c r="F85" s="14" t="n">
        <f aca="false">IFERROR(D85/B85,0)</f>
        <v>0</v>
      </c>
    </row>
    <row r="86" customFormat="false" ht="15" hidden="false" customHeight="false" outlineLevel="0" collapsed="false">
      <c r="A86" s="13" t="s">
        <v>45</v>
      </c>
      <c r="B86" s="7" t="n">
        <v>113</v>
      </c>
      <c r="C86" s="7" t="n">
        <v>111</v>
      </c>
      <c r="D86" s="7" t="n">
        <v>2</v>
      </c>
      <c r="E86" s="14" t="n">
        <f aca="false">IFERROR(C86/B86,0)</f>
        <v>0.982300884955752</v>
      </c>
      <c r="F86" s="14" t="n">
        <f aca="false">IFERROR(D86/B86,0)</f>
        <v>0.0176991150442478</v>
      </c>
    </row>
    <row r="87" customFormat="false" ht="15" hidden="false" customHeight="false" outlineLevel="0" collapsed="false">
      <c r="A87" s="13" t="s">
        <v>60</v>
      </c>
      <c r="B87" s="7" t="n">
        <v>37</v>
      </c>
      <c r="C87" s="7" t="n">
        <v>37</v>
      </c>
      <c r="D87" s="7" t="n">
        <v>0</v>
      </c>
      <c r="E87" s="14" t="n">
        <f aca="false">IFERROR(C87/B87,0)</f>
        <v>1</v>
      </c>
      <c r="F87" s="14" t="n">
        <f aca="false">IFERROR(D87/B87,0)</f>
        <v>0</v>
      </c>
    </row>
    <row r="88" customFormat="false" ht="15" hidden="false" customHeight="false" outlineLevel="0" collapsed="false">
      <c r="A88" s="13" t="s">
        <v>41</v>
      </c>
      <c r="B88" s="7" t="n">
        <v>0</v>
      </c>
      <c r="C88" s="7" t="n">
        <v>0</v>
      </c>
      <c r="D88" s="7" t="n">
        <v>0</v>
      </c>
      <c r="E88" s="14" t="n">
        <f aca="false">IFERROR(C88/B88,0)</f>
        <v>0</v>
      </c>
      <c r="F88" s="14" t="n">
        <f aca="false">IFERROR(D88/B88,0)</f>
        <v>0</v>
      </c>
    </row>
    <row r="89" customFormat="false" ht="15" hidden="false" customHeight="false" outlineLevel="0" collapsed="false">
      <c r="A89" s="13" t="s">
        <v>33</v>
      </c>
      <c r="B89" s="7" t="n">
        <v>1</v>
      </c>
      <c r="C89" s="7" t="n">
        <v>1</v>
      </c>
      <c r="D89" s="7" t="n">
        <v>0</v>
      </c>
      <c r="E89" s="14" t="n">
        <f aca="false">IFERROR(C89/B89,0)</f>
        <v>1</v>
      </c>
      <c r="F89" s="14" t="n">
        <f aca="false">IFERROR(D89/B89,0)</f>
        <v>0</v>
      </c>
    </row>
    <row r="90" customFormat="false" ht="15" hidden="false" customHeight="false" outlineLevel="0" collapsed="false">
      <c r="A90" s="13" t="s">
        <v>48</v>
      </c>
      <c r="B90" s="7" t="n">
        <v>3</v>
      </c>
      <c r="C90" s="7" t="n">
        <v>2</v>
      </c>
      <c r="D90" s="7" t="n">
        <v>1</v>
      </c>
      <c r="E90" s="14" t="n">
        <f aca="false">IFERROR(C90/B90,0)</f>
        <v>0.666666666666667</v>
      </c>
      <c r="F90" s="14" t="n">
        <f aca="false">IFERROR(D90/B90,0)</f>
        <v>0.333333333333333</v>
      </c>
    </row>
    <row r="91" customFormat="false" ht="15" hidden="false" customHeight="false" outlineLevel="0" collapsed="false">
      <c r="A91" s="13" t="s">
        <v>31</v>
      </c>
      <c r="B91" s="7" t="n">
        <v>1</v>
      </c>
      <c r="C91" s="7" t="n">
        <v>1</v>
      </c>
      <c r="D91" s="7" t="n">
        <v>0</v>
      </c>
      <c r="E91" s="14" t="n">
        <f aca="false">IFERROR(C91/B91,0)</f>
        <v>1</v>
      </c>
      <c r="F91" s="14" t="n">
        <f aca="false">IFERROR(D91/B91,0)</f>
        <v>0</v>
      </c>
    </row>
    <row r="92" customFormat="false" ht="15" hidden="false" customHeight="false" outlineLevel="0" collapsed="false">
      <c r="A92" s="15" t="s">
        <v>120</v>
      </c>
      <c r="B92" s="16" t="n">
        <f aca="false">SUM(B81:B91)</f>
        <v>1335</v>
      </c>
      <c r="C92" s="16" t="n">
        <f aca="false">SUM(C81:C91)</f>
        <v>1265</v>
      </c>
      <c r="D92" s="16" t="n">
        <f aca="false">SUM(D81:D91)</f>
        <v>70</v>
      </c>
      <c r="E92" s="17" t="n">
        <f aca="false">IFERROR(C92/B92,0)</f>
        <v>0.947565543071161</v>
      </c>
      <c r="F92" s="17" t="n">
        <f aca="false">IFERROR(D92/B92,0)</f>
        <v>0.052434456928839</v>
      </c>
    </row>
    <row r="95" customFormat="false" ht="15" hidden="false" customHeight="false" outlineLevel="0" collapsed="false">
      <c r="A95" s="21" t="s">
        <v>139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customFormat="false" ht="15" hidden="false" customHeight="false" outlineLevel="0" collapsed="false">
      <c r="A96" s="2" t="s">
        <v>140</v>
      </c>
    </row>
    <row r="98" customFormat="false" ht="15" hidden="false" customHeight="false" outlineLevel="0" collapsed="false">
      <c r="A98" s="11" t="s">
        <v>141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customFormat="false" ht="27.75" hidden="false" customHeight="true" outlineLevel="0" collapsed="false">
      <c r="A99" s="5" t="s">
        <v>142</v>
      </c>
      <c r="B99" s="5" t="s">
        <v>111</v>
      </c>
      <c r="C99" s="5" t="s">
        <v>112</v>
      </c>
      <c r="D99" s="5" t="s">
        <v>132</v>
      </c>
      <c r="E99" s="5" t="s">
        <v>115</v>
      </c>
      <c r="F99" s="5" t="s">
        <v>133</v>
      </c>
      <c r="G99" s="23"/>
      <c r="H99" s="23"/>
      <c r="I99" s="23"/>
      <c r="J99" s="5" t="s">
        <v>21</v>
      </c>
      <c r="K99" s="5" t="s">
        <v>22</v>
      </c>
      <c r="L99" s="5" t="s">
        <v>143</v>
      </c>
      <c r="M99" s="5" t="s">
        <v>144</v>
      </c>
    </row>
    <row r="100" customFormat="false" ht="15" hidden="false" customHeight="false" outlineLevel="0" collapsed="false">
      <c r="A100" s="13" t="s">
        <v>255</v>
      </c>
      <c r="B100" s="7" t="n">
        <v>394</v>
      </c>
      <c r="C100" s="7" t="n">
        <v>368</v>
      </c>
      <c r="D100" s="7" t="n">
        <v>309</v>
      </c>
      <c r="E100" s="14" t="n">
        <f aca="false">IFERROR(C100/B100,0)</f>
        <v>0.934010152284264</v>
      </c>
      <c r="F100" s="14" t="n">
        <f aca="false">IFERROR(D100/C100,0)</f>
        <v>0.839673913043478</v>
      </c>
      <c r="J100" s="6" t="s">
        <v>256</v>
      </c>
      <c r="K100" s="6" t="s">
        <v>257</v>
      </c>
      <c r="L100" s="6" t="s">
        <v>46</v>
      </c>
      <c r="M100" s="6" t="s">
        <v>258</v>
      </c>
    </row>
    <row r="101" customFormat="false" ht="15" hidden="false" customHeight="false" outlineLevel="0" collapsed="false">
      <c r="A101" s="13" t="s">
        <v>255</v>
      </c>
      <c r="B101" s="7" t="n">
        <v>348</v>
      </c>
      <c r="C101" s="7" t="n">
        <v>301</v>
      </c>
      <c r="D101" s="7" t="n">
        <v>244</v>
      </c>
      <c r="E101" s="14" t="n">
        <f aca="false">IFERROR(C101/B101,0)</f>
        <v>0.864942528735632</v>
      </c>
      <c r="F101" s="14" t="n">
        <f aca="false">IFERROR(D101/C101,0)</f>
        <v>0.81063122923588</v>
      </c>
      <c r="J101" s="6" t="s">
        <v>259</v>
      </c>
      <c r="K101" s="6" t="s">
        <v>257</v>
      </c>
      <c r="L101" s="6" t="s">
        <v>46</v>
      </c>
      <c r="M101" s="6" t="s">
        <v>260</v>
      </c>
    </row>
    <row r="102" customFormat="false" ht="15" hidden="false" customHeight="false" outlineLevel="0" collapsed="false">
      <c r="A102" s="13" t="s">
        <v>180</v>
      </c>
      <c r="B102" s="7" t="n">
        <v>22283</v>
      </c>
      <c r="C102" s="7" t="n">
        <v>19572</v>
      </c>
      <c r="D102" s="7" t="n">
        <v>15306</v>
      </c>
      <c r="E102" s="14" t="n">
        <f aca="false">IFERROR(C102/B102,0)</f>
        <v>0.878337746263968</v>
      </c>
      <c r="F102" s="14" t="n">
        <f aca="false">IFERROR(D102/C102,0)</f>
        <v>0.782035561005518</v>
      </c>
      <c r="J102" s="6" t="s">
        <v>261</v>
      </c>
      <c r="K102" s="6" t="s">
        <v>262</v>
      </c>
      <c r="L102" s="6" t="s">
        <v>46</v>
      </c>
      <c r="M102" s="6" t="s">
        <v>263</v>
      </c>
    </row>
    <row r="103" customFormat="false" ht="15" hidden="false" customHeight="false" outlineLevel="0" collapsed="false">
      <c r="A103" s="13" t="s">
        <v>180</v>
      </c>
      <c r="B103" s="7" t="n">
        <v>2459</v>
      </c>
      <c r="C103" s="7" t="n">
        <v>2131</v>
      </c>
      <c r="D103" s="7" t="n">
        <v>1757</v>
      </c>
      <c r="E103" s="14" t="n">
        <f aca="false">IFERROR(C103/B103,0)</f>
        <v>0.866612444082961</v>
      </c>
      <c r="F103" s="14" t="n">
        <f aca="false">IFERROR(D103/C103,0)</f>
        <v>0.824495541999062</v>
      </c>
      <c r="J103" s="6" t="s">
        <v>264</v>
      </c>
      <c r="K103" s="6" t="s">
        <v>265</v>
      </c>
      <c r="L103" s="6" t="s">
        <v>46</v>
      </c>
      <c r="M103" s="6" t="s">
        <v>266</v>
      </c>
    </row>
    <row r="104" customFormat="false" ht="15" hidden="false" customHeight="false" outlineLevel="0" collapsed="false">
      <c r="A104" s="13" t="s">
        <v>255</v>
      </c>
      <c r="B104" s="7" t="n">
        <v>144</v>
      </c>
      <c r="C104" s="7" t="n">
        <v>120</v>
      </c>
      <c r="D104" s="7" t="n">
        <v>88</v>
      </c>
      <c r="E104" s="14" t="n">
        <f aca="false">IFERROR(C104/B104,0)</f>
        <v>0.833333333333333</v>
      </c>
      <c r="F104" s="14" t="n">
        <f aca="false">IFERROR(D104/C104,0)</f>
        <v>0.733333333333333</v>
      </c>
      <c r="J104" s="6" t="s">
        <v>267</v>
      </c>
      <c r="K104" s="6" t="s">
        <v>232</v>
      </c>
      <c r="L104" s="6" t="s">
        <v>46</v>
      </c>
      <c r="M104" s="6" t="s">
        <v>268</v>
      </c>
    </row>
    <row r="105" customFormat="false" ht="15" hidden="false" customHeight="false" outlineLevel="0" collapsed="false">
      <c r="A105" s="13" t="s">
        <v>180</v>
      </c>
      <c r="B105" s="7" t="n">
        <v>13432</v>
      </c>
      <c r="C105" s="7" t="n">
        <v>9401</v>
      </c>
      <c r="D105" s="7" t="n">
        <v>7417</v>
      </c>
      <c r="E105" s="14" t="n">
        <f aca="false">IFERROR(C105/B105,0)</f>
        <v>0.699895771292436</v>
      </c>
      <c r="F105" s="14" t="n">
        <f aca="false">IFERROR(D105/C105,0)</f>
        <v>0.788958621423253</v>
      </c>
      <c r="J105" s="6" t="s">
        <v>181</v>
      </c>
      <c r="K105" s="6" t="s">
        <v>257</v>
      </c>
      <c r="L105" s="6" t="s">
        <v>46</v>
      </c>
      <c r="M105" s="6" t="s">
        <v>269</v>
      </c>
    </row>
    <row r="106" customFormat="false" ht="15" hidden="false" customHeight="false" outlineLevel="0" collapsed="false">
      <c r="A106" s="13" t="s">
        <v>184</v>
      </c>
      <c r="B106" s="7" t="n">
        <v>3838</v>
      </c>
      <c r="C106" s="7" t="n">
        <v>3308</v>
      </c>
      <c r="D106" s="7" t="n">
        <v>2745</v>
      </c>
      <c r="E106" s="14" t="n">
        <f aca="false">IFERROR(C106/B106,0)</f>
        <v>0.861907243355915</v>
      </c>
      <c r="F106" s="14" t="n">
        <f aca="false">IFERROR(D106/C106,0)</f>
        <v>0.829806529625151</v>
      </c>
      <c r="J106" s="6" t="s">
        <v>256</v>
      </c>
      <c r="K106" s="6" t="s">
        <v>270</v>
      </c>
      <c r="L106" s="6" t="s">
        <v>46</v>
      </c>
      <c r="M106" s="6" t="s">
        <v>271</v>
      </c>
    </row>
    <row r="107" customFormat="false" ht="15" hidden="false" customHeight="false" outlineLevel="0" collapsed="false">
      <c r="A107" s="13" t="s">
        <v>184</v>
      </c>
      <c r="B107" s="7" t="n">
        <v>2400</v>
      </c>
      <c r="C107" s="7" t="n">
        <v>2042</v>
      </c>
      <c r="D107" s="7" t="n">
        <v>1558</v>
      </c>
      <c r="E107" s="14" t="n">
        <f aca="false">IFERROR(C107/B107,0)</f>
        <v>0.850833333333333</v>
      </c>
      <c r="F107" s="14" t="n">
        <f aca="false">IFERROR(D107/C107,0)</f>
        <v>0.762977473065622</v>
      </c>
      <c r="J107" s="6" t="s">
        <v>272</v>
      </c>
      <c r="K107" s="6" t="s">
        <v>265</v>
      </c>
      <c r="L107" s="6" t="s">
        <v>46</v>
      </c>
      <c r="M107" s="6" t="s">
        <v>273</v>
      </c>
    </row>
    <row r="108" customFormat="false" ht="15" hidden="false" customHeight="false" outlineLevel="0" collapsed="false">
      <c r="A108" s="13" t="s">
        <v>274</v>
      </c>
      <c r="B108" s="7" t="n">
        <v>0</v>
      </c>
      <c r="C108" s="7" t="n">
        <v>0</v>
      </c>
      <c r="D108" s="7" t="n">
        <v>0</v>
      </c>
      <c r="E108" s="14" t="n">
        <f aca="false">IFERROR(C108/B108,0)</f>
        <v>0</v>
      </c>
      <c r="F108" s="14" t="n">
        <f aca="false">IFERROR(D108/C108,0)</f>
        <v>0</v>
      </c>
      <c r="J108" s="6" t="s">
        <v>275</v>
      </c>
      <c r="K108" s="6" t="s">
        <v>276</v>
      </c>
      <c r="L108" s="6" t="s">
        <v>46</v>
      </c>
      <c r="M108" s="6" t="s">
        <v>277</v>
      </c>
    </row>
    <row r="109" customFormat="false" ht="15" hidden="false" customHeight="false" outlineLevel="0" collapsed="false">
      <c r="A109" s="13" t="s">
        <v>157</v>
      </c>
      <c r="B109" s="7" t="n">
        <v>45960</v>
      </c>
      <c r="C109" s="7" t="n">
        <v>42644</v>
      </c>
      <c r="D109" s="7" t="n">
        <v>35149</v>
      </c>
      <c r="E109" s="14" t="n">
        <f aca="false">IFERROR(C109/B109,0)</f>
        <v>0.927850304612707</v>
      </c>
      <c r="F109" s="14" t="n">
        <f aca="false">IFERROR(D109/C109,0)</f>
        <v>0.824242566363381</v>
      </c>
      <c r="J109" s="6" t="s">
        <v>278</v>
      </c>
      <c r="K109" s="6" t="s">
        <v>147</v>
      </c>
      <c r="L109" s="6" t="s">
        <v>49</v>
      </c>
      <c r="M109" s="6" t="s">
        <v>279</v>
      </c>
    </row>
    <row r="110" customFormat="false" ht="15" hidden="false" customHeight="false" outlineLevel="0" collapsed="false">
      <c r="A110" s="13" t="s">
        <v>157</v>
      </c>
      <c r="B110" s="7" t="n">
        <v>8953</v>
      </c>
      <c r="C110" s="7" t="n">
        <v>7882</v>
      </c>
      <c r="D110" s="7" t="n">
        <v>6117</v>
      </c>
      <c r="E110" s="14" t="n">
        <f aca="false">IFERROR(C110/B110,0)</f>
        <v>0.880375293197811</v>
      </c>
      <c r="F110" s="14" t="n">
        <f aca="false">IFERROR(D110/C110,0)</f>
        <v>0.776072062928191</v>
      </c>
      <c r="J110" s="6" t="s">
        <v>280</v>
      </c>
      <c r="K110" s="6" t="s">
        <v>147</v>
      </c>
      <c r="L110" s="6" t="s">
        <v>49</v>
      </c>
      <c r="M110" s="6" t="s">
        <v>281</v>
      </c>
    </row>
    <row r="111" customFormat="false" ht="15" hidden="false" customHeight="false" outlineLevel="0" collapsed="false">
      <c r="A111" s="13" t="s">
        <v>165</v>
      </c>
      <c r="B111" s="7" t="n">
        <v>49640</v>
      </c>
      <c r="C111" s="7" t="n">
        <v>46051</v>
      </c>
      <c r="D111" s="7" t="n">
        <v>37044</v>
      </c>
      <c r="E111" s="14" t="n">
        <f aca="false">IFERROR(C111/B111,0)</f>
        <v>0.927699435938759</v>
      </c>
      <c r="F111" s="14" t="n">
        <f aca="false">IFERROR(D111/C111,0)</f>
        <v>0.804412499185686</v>
      </c>
      <c r="J111" s="6" t="s">
        <v>278</v>
      </c>
      <c r="K111" s="6" t="s">
        <v>147</v>
      </c>
      <c r="L111" s="6" t="s">
        <v>49</v>
      </c>
      <c r="M111" s="6" t="s">
        <v>282</v>
      </c>
    </row>
    <row r="113" customFormat="false" ht="15" hidden="false" customHeight="false" outlineLevel="0" collapsed="false">
      <c r="A113" s="11" t="s">
        <v>191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customFormat="false" ht="27.75" hidden="false" customHeight="true" outlineLevel="0" collapsed="false">
      <c r="A114" s="5" t="s">
        <v>142</v>
      </c>
      <c r="B114" s="5" t="s">
        <v>111</v>
      </c>
      <c r="C114" s="5" t="s">
        <v>112</v>
      </c>
      <c r="D114" s="5" t="s">
        <v>113</v>
      </c>
      <c r="E114" s="5" t="s">
        <v>114</v>
      </c>
      <c r="F114" s="5" t="s">
        <v>115</v>
      </c>
      <c r="G114" s="5" t="s">
        <v>116</v>
      </c>
      <c r="H114" s="5" t="s">
        <v>117</v>
      </c>
      <c r="I114" s="5" t="s">
        <v>118</v>
      </c>
      <c r="J114" s="5" t="s">
        <v>21</v>
      </c>
      <c r="K114" s="5" t="s">
        <v>22</v>
      </c>
      <c r="L114" s="5" t="s">
        <v>143</v>
      </c>
      <c r="M114" s="5" t="s">
        <v>144</v>
      </c>
    </row>
    <row r="115" customFormat="false" ht="15" hidden="false" customHeight="false" outlineLevel="0" collapsed="false">
      <c r="A115" s="13" t="s">
        <v>157</v>
      </c>
      <c r="B115" s="7" t="n">
        <v>3654</v>
      </c>
      <c r="C115" s="7" t="n">
        <v>3578</v>
      </c>
      <c r="D115" s="7" t="n">
        <v>848</v>
      </c>
      <c r="E115" s="7" t="n">
        <v>11</v>
      </c>
      <c r="F115" s="14" t="n">
        <f aca="false">IFERROR(C115/B115,0)</f>
        <v>0.9792008757526</v>
      </c>
      <c r="G115" s="14" t="n">
        <f aca="false">IFERROR(D115/C115,0)</f>
        <v>0.237003912800447</v>
      </c>
      <c r="H115" s="14" t="n">
        <f aca="false">IFERROR(E115/C115,0)</f>
        <v>0.00307434320849637</v>
      </c>
      <c r="I115" s="14" t="n">
        <f aca="false">IFERROR(E115/D115,0)</f>
        <v>0.0129716981132075</v>
      </c>
      <c r="J115" s="6" t="s">
        <v>195</v>
      </c>
      <c r="K115" s="6" t="s">
        <v>283</v>
      </c>
      <c r="L115" s="6" t="s">
        <v>43</v>
      </c>
      <c r="M115" s="6" t="s">
        <v>284</v>
      </c>
    </row>
    <row r="116" customFormat="false" ht="15" hidden="false" customHeight="false" outlineLevel="0" collapsed="false">
      <c r="A116" s="13" t="s">
        <v>285</v>
      </c>
      <c r="B116" s="7" t="n">
        <v>3688</v>
      </c>
      <c r="C116" s="7" t="n">
        <v>3617</v>
      </c>
      <c r="D116" s="7" t="n">
        <v>838</v>
      </c>
      <c r="E116" s="7" t="n">
        <v>46</v>
      </c>
      <c r="F116" s="14" t="n">
        <f aca="false">IFERROR(C116/B116,0)</f>
        <v>0.980748373101952</v>
      </c>
      <c r="G116" s="14" t="n">
        <f aca="false">IFERROR(D116/C116,0)</f>
        <v>0.231683715786563</v>
      </c>
      <c r="H116" s="14" t="n">
        <f aca="false">IFERROR(E116/C116,0)</f>
        <v>0.0127177218689522</v>
      </c>
      <c r="I116" s="14" t="n">
        <f aca="false">IFERROR(E116/D116,0)</f>
        <v>0.0548926014319809</v>
      </c>
      <c r="J116" s="6" t="s">
        <v>224</v>
      </c>
      <c r="K116" s="6" t="s">
        <v>286</v>
      </c>
      <c r="L116" s="6" t="s">
        <v>43</v>
      </c>
      <c r="M116" s="6" t="s">
        <v>287</v>
      </c>
    </row>
    <row r="117" customFormat="false" ht="15" hidden="false" customHeight="false" outlineLevel="0" collapsed="false">
      <c r="A117" s="13" t="s">
        <v>288</v>
      </c>
      <c r="B117" s="7" t="n">
        <v>3887</v>
      </c>
      <c r="C117" s="7" t="n">
        <v>3817</v>
      </c>
      <c r="D117" s="7" t="n">
        <v>727</v>
      </c>
      <c r="E117" s="7" t="n">
        <v>9</v>
      </c>
      <c r="F117" s="14" t="n">
        <f aca="false">IFERROR(C117/B117,0)</f>
        <v>0.981991252894263</v>
      </c>
      <c r="G117" s="14" t="n">
        <f aca="false">IFERROR(D117/C117,0)</f>
        <v>0.190463714959392</v>
      </c>
      <c r="H117" s="14" t="n">
        <f aca="false">IFERROR(E117/C117,0)</f>
        <v>0.00235787267487556</v>
      </c>
      <c r="I117" s="14" t="n">
        <f aca="false">IFERROR(E117/D117,0)</f>
        <v>0.0123796423658872</v>
      </c>
      <c r="J117" s="6" t="s">
        <v>224</v>
      </c>
      <c r="K117" s="6" t="s">
        <v>289</v>
      </c>
      <c r="L117" s="6" t="s">
        <v>43</v>
      </c>
      <c r="M117" s="6" t="s">
        <v>290</v>
      </c>
    </row>
    <row r="118" customFormat="false" ht="15" hidden="false" customHeight="false" outlineLevel="0" collapsed="false">
      <c r="A118" s="13" t="s">
        <v>291</v>
      </c>
      <c r="B118" s="7" t="n">
        <v>4602</v>
      </c>
      <c r="C118" s="7" t="n">
        <v>4551</v>
      </c>
      <c r="D118" s="7" t="n">
        <v>792</v>
      </c>
      <c r="E118" s="7" t="n">
        <v>45</v>
      </c>
      <c r="F118" s="14" t="n">
        <f aca="false">IFERROR(C118/B118,0)</f>
        <v>0.988917861799218</v>
      </c>
      <c r="G118" s="14" t="n">
        <f aca="false">IFERROR(D118/C118,0)</f>
        <v>0.174027686222808</v>
      </c>
      <c r="H118" s="14" t="n">
        <f aca="false">IFERROR(E118/C118,0)</f>
        <v>0.00988793671720501</v>
      </c>
      <c r="I118" s="14" t="n">
        <f aca="false">IFERROR(E118/D118,0)</f>
        <v>0.0568181818181818</v>
      </c>
      <c r="J118" s="6" t="s">
        <v>224</v>
      </c>
      <c r="K118" s="6" t="s">
        <v>292</v>
      </c>
      <c r="L118" s="6" t="s">
        <v>43</v>
      </c>
      <c r="M118" s="6" t="s">
        <v>293</v>
      </c>
    </row>
    <row r="119" customFormat="false" ht="15" hidden="false" customHeight="false" outlineLevel="0" collapsed="false">
      <c r="A119" s="13" t="s">
        <v>294</v>
      </c>
      <c r="B119" s="7" t="n">
        <v>4722</v>
      </c>
      <c r="C119" s="7" t="n">
        <v>4678</v>
      </c>
      <c r="D119" s="7" t="n">
        <v>965</v>
      </c>
      <c r="E119" s="7" t="n">
        <v>13</v>
      </c>
      <c r="F119" s="14" t="n">
        <f aca="false">IFERROR(C119/B119,0)</f>
        <v>0.990681914443033</v>
      </c>
      <c r="G119" s="14" t="n">
        <f aca="false">IFERROR(D119/C119,0)</f>
        <v>0.206284737067123</v>
      </c>
      <c r="H119" s="14" t="n">
        <f aca="false">IFERROR(E119/C119,0)</f>
        <v>0.00277896536981616</v>
      </c>
      <c r="I119" s="14" t="n">
        <f aca="false">IFERROR(E119/D119,0)</f>
        <v>0.0134715025906736</v>
      </c>
      <c r="J119" s="6" t="s">
        <v>224</v>
      </c>
      <c r="K119" s="6" t="s">
        <v>295</v>
      </c>
      <c r="L119" s="6" t="s">
        <v>43</v>
      </c>
      <c r="M119" s="6" t="s">
        <v>296</v>
      </c>
    </row>
    <row r="120" customFormat="false" ht="15" hidden="false" customHeight="false" outlineLevel="0" collapsed="false">
      <c r="A120" s="13" t="s">
        <v>297</v>
      </c>
      <c r="B120" s="7" t="n">
        <v>5078</v>
      </c>
      <c r="C120" s="7" t="n">
        <v>5036</v>
      </c>
      <c r="D120" s="7" t="n">
        <v>1446</v>
      </c>
      <c r="E120" s="7" t="n">
        <v>48</v>
      </c>
      <c r="F120" s="14" t="n">
        <f aca="false">IFERROR(C120/B120,0)</f>
        <v>0.991729027176054</v>
      </c>
      <c r="G120" s="14" t="n">
        <f aca="false">IFERROR(D120/C120,0)</f>
        <v>0.287132644956315</v>
      </c>
      <c r="H120" s="14" t="n">
        <f aca="false">IFERROR(E120/C120,0)</f>
        <v>0.00953137410643368</v>
      </c>
      <c r="I120" s="14" t="n">
        <f aca="false">IFERROR(E120/D120,0)</f>
        <v>0.033195020746888</v>
      </c>
      <c r="J120" s="6" t="s">
        <v>224</v>
      </c>
      <c r="K120" s="6" t="s">
        <v>298</v>
      </c>
      <c r="L120" s="6" t="s">
        <v>43</v>
      </c>
      <c r="M120" s="6" t="s">
        <v>299</v>
      </c>
    </row>
    <row r="121" customFormat="false" ht="15" hidden="false" customHeight="false" outlineLevel="0" collapsed="false">
      <c r="A121" s="13" t="s">
        <v>174</v>
      </c>
      <c r="B121" s="7" t="n">
        <v>5070</v>
      </c>
      <c r="C121" s="7" t="n">
        <v>5028</v>
      </c>
      <c r="D121" s="7" t="n">
        <v>760</v>
      </c>
      <c r="E121" s="7" t="n">
        <v>18</v>
      </c>
      <c r="F121" s="14" t="n">
        <f aca="false">IFERROR(C121/B121,0)</f>
        <v>0.991715976331361</v>
      </c>
      <c r="G121" s="14" t="n">
        <f aca="false">IFERROR(D121/C121,0)</f>
        <v>0.15115354017502</v>
      </c>
      <c r="H121" s="14" t="n">
        <f aca="false">IFERROR(E121/C121,0)</f>
        <v>0.0035799522673031</v>
      </c>
      <c r="I121" s="14" t="n">
        <f aca="false">IFERROR(E121/D121,0)</f>
        <v>0.0236842105263158</v>
      </c>
      <c r="J121" s="6" t="s">
        <v>300</v>
      </c>
      <c r="K121" s="6" t="s">
        <v>301</v>
      </c>
      <c r="L121" s="6" t="s">
        <v>43</v>
      </c>
      <c r="M121" s="6" t="s">
        <v>302</v>
      </c>
    </row>
    <row r="122" customFormat="false" ht="15" hidden="false" customHeight="false" outlineLevel="0" collapsed="false">
      <c r="A122" s="13" t="s">
        <v>303</v>
      </c>
      <c r="B122" s="7" t="n">
        <v>5094</v>
      </c>
      <c r="C122" s="7" t="n">
        <v>5051</v>
      </c>
      <c r="D122" s="7" t="n">
        <v>1152</v>
      </c>
      <c r="E122" s="7" t="n">
        <v>108</v>
      </c>
      <c r="F122" s="14" t="n">
        <f aca="false">IFERROR(C122/B122,0)</f>
        <v>0.991558696505693</v>
      </c>
      <c r="G122" s="14" t="n">
        <f aca="false">IFERROR(D122/C122,0)</f>
        <v>0.228073648782419</v>
      </c>
      <c r="H122" s="14" t="n">
        <f aca="false">IFERROR(E122/C122,0)</f>
        <v>0.0213819045733518</v>
      </c>
      <c r="I122" s="14" t="n">
        <f aca="false">IFERROR(E122/D122,0)</f>
        <v>0.09375</v>
      </c>
      <c r="J122" s="6" t="s">
        <v>224</v>
      </c>
      <c r="K122" s="6" t="s">
        <v>304</v>
      </c>
      <c r="L122" s="6" t="s">
        <v>43</v>
      </c>
      <c r="M122" s="6" t="s">
        <v>305</v>
      </c>
    </row>
    <row r="123" customFormat="false" ht="15" hidden="false" customHeight="false" outlineLevel="0" collapsed="false">
      <c r="A123" s="13" t="s">
        <v>306</v>
      </c>
      <c r="B123" s="7" t="n">
        <v>5445</v>
      </c>
      <c r="C123" s="7" t="n">
        <v>5399</v>
      </c>
      <c r="D123" s="7" t="n">
        <v>872</v>
      </c>
      <c r="E123" s="7" t="n">
        <v>44</v>
      </c>
      <c r="F123" s="14" t="n">
        <f aca="false">IFERROR(C123/B123,0)</f>
        <v>0.991551882460973</v>
      </c>
      <c r="G123" s="14" t="n">
        <f aca="false">IFERROR(D123/C123,0)</f>
        <v>0.161511390998333</v>
      </c>
      <c r="H123" s="14" t="n">
        <f aca="false">IFERROR(E123/C123,0)</f>
        <v>0.00814965734395259</v>
      </c>
      <c r="I123" s="14" t="n">
        <f aca="false">IFERROR(E123/D123,0)</f>
        <v>0.0504587155963303</v>
      </c>
      <c r="J123" s="6" t="s">
        <v>224</v>
      </c>
      <c r="K123" s="6" t="s">
        <v>307</v>
      </c>
      <c r="L123" s="6" t="s">
        <v>43</v>
      </c>
      <c r="M123" s="6" t="s">
        <v>308</v>
      </c>
    </row>
    <row r="124" customFormat="false" ht="15" hidden="false" customHeight="false" outlineLevel="0" collapsed="false">
      <c r="A124" s="13" t="s">
        <v>215</v>
      </c>
      <c r="B124" s="7" t="n">
        <v>5637</v>
      </c>
      <c r="C124" s="7" t="n">
        <v>5593</v>
      </c>
      <c r="D124" s="7" t="n">
        <v>898</v>
      </c>
      <c r="E124" s="7" t="n">
        <v>52</v>
      </c>
      <c r="F124" s="14" t="n">
        <f aca="false">IFERROR(C124/B124,0)</f>
        <v>0.992194429661167</v>
      </c>
      <c r="G124" s="14" t="n">
        <f aca="false">IFERROR(D124/C124,0)</f>
        <v>0.16055784015734</v>
      </c>
      <c r="H124" s="14" t="n">
        <f aca="false">IFERROR(E124/C124,0)</f>
        <v>0.00929733595565886</v>
      </c>
      <c r="I124" s="14" t="n">
        <f aca="false">IFERROR(E124/D124,0)</f>
        <v>0.0579064587973274</v>
      </c>
      <c r="J124" s="6" t="s">
        <v>224</v>
      </c>
      <c r="K124" s="6" t="s">
        <v>309</v>
      </c>
      <c r="L124" s="6" t="s">
        <v>43</v>
      </c>
      <c r="M124" s="6" t="s">
        <v>310</v>
      </c>
    </row>
    <row r="125" customFormat="false" ht="15" hidden="false" customHeight="false" outlineLevel="0" collapsed="false">
      <c r="A125" s="13" t="s">
        <v>311</v>
      </c>
      <c r="B125" s="7" t="n">
        <v>4896</v>
      </c>
      <c r="C125" s="7" t="n">
        <v>4852</v>
      </c>
      <c r="D125" s="7" t="n">
        <v>321</v>
      </c>
      <c r="E125" s="7" t="n">
        <v>11</v>
      </c>
      <c r="F125" s="14" t="n">
        <f aca="false">IFERROR(C125/B125,0)</f>
        <v>0.991013071895425</v>
      </c>
      <c r="G125" s="14" t="n">
        <f aca="false">IFERROR(D125/C125,0)</f>
        <v>0.0661582852431987</v>
      </c>
      <c r="H125" s="14" t="n">
        <f aca="false">IFERROR(E125/C125,0)</f>
        <v>0.00226710634789777</v>
      </c>
      <c r="I125" s="14" t="n">
        <f aca="false">IFERROR(E125/D125,0)</f>
        <v>0.0342679127725857</v>
      </c>
      <c r="J125" s="6" t="s">
        <v>224</v>
      </c>
      <c r="K125" s="6" t="s">
        <v>312</v>
      </c>
      <c r="L125" s="6" t="s">
        <v>43</v>
      </c>
      <c r="M125" s="6" t="s">
        <v>313</v>
      </c>
    </row>
    <row r="126" customFormat="false" ht="15" hidden="false" customHeight="false" outlineLevel="0" collapsed="false">
      <c r="A126" s="13" t="s">
        <v>180</v>
      </c>
      <c r="B126" s="7" t="n">
        <v>275340</v>
      </c>
      <c r="C126" s="7" t="n">
        <v>272491</v>
      </c>
      <c r="D126" s="7" t="n">
        <v>25515</v>
      </c>
      <c r="E126" s="7" t="n">
        <v>1144</v>
      </c>
      <c r="F126" s="14" t="n">
        <f aca="false">IFERROR(C126/B126,0)</f>
        <v>0.989652792910583</v>
      </c>
      <c r="G126" s="14" t="n">
        <f aca="false">IFERROR(D126/C126,0)</f>
        <v>0.0936361200920397</v>
      </c>
      <c r="H126" s="14" t="n">
        <f aca="false">IFERROR(E126/C126,0)</f>
        <v>0.00419830379718963</v>
      </c>
      <c r="I126" s="14" t="n">
        <f aca="false">IFERROR(E126/D126,0)</f>
        <v>0.0448363707622967</v>
      </c>
      <c r="J126" s="6" t="s">
        <v>261</v>
      </c>
      <c r="K126" s="6" t="s">
        <v>314</v>
      </c>
      <c r="L126" s="6" t="s">
        <v>46</v>
      </c>
      <c r="M126" s="6" t="s">
        <v>315</v>
      </c>
    </row>
    <row r="127" customFormat="false" ht="15" hidden="false" customHeight="false" outlineLevel="0" collapsed="false">
      <c r="A127" s="13" t="s">
        <v>180</v>
      </c>
      <c r="B127" s="7" t="n">
        <v>202897</v>
      </c>
      <c r="C127" s="7" t="n">
        <v>200884</v>
      </c>
      <c r="D127" s="7" t="n">
        <v>19583</v>
      </c>
      <c r="E127" s="7" t="n">
        <v>681</v>
      </c>
      <c r="F127" s="14" t="n">
        <f aca="false">IFERROR(C127/B127,0)</f>
        <v>0.990078709887283</v>
      </c>
      <c r="G127" s="14" t="n">
        <f aca="false">IFERROR(D127/C127,0)</f>
        <v>0.0974841201887657</v>
      </c>
      <c r="H127" s="14" t="n">
        <f aca="false">IFERROR(E127/C127,0)</f>
        <v>0.0033900161287111</v>
      </c>
      <c r="I127" s="14" t="n">
        <f aca="false">IFERROR(E127/D127,0)</f>
        <v>0.0347750600010213</v>
      </c>
      <c r="J127" s="6" t="s">
        <v>264</v>
      </c>
      <c r="K127" s="6" t="s">
        <v>314</v>
      </c>
      <c r="L127" s="6" t="s">
        <v>46</v>
      </c>
      <c r="M127" s="6" t="s">
        <v>316</v>
      </c>
    </row>
    <row r="128" customFormat="false" ht="15" hidden="false" customHeight="false" outlineLevel="0" collapsed="false">
      <c r="A128" s="13" t="s">
        <v>180</v>
      </c>
      <c r="B128" s="7" t="n">
        <v>226411</v>
      </c>
      <c r="C128" s="7" t="n">
        <v>224533</v>
      </c>
      <c r="D128" s="7" t="n">
        <v>18718</v>
      </c>
      <c r="E128" s="7" t="n">
        <v>302</v>
      </c>
      <c r="F128" s="14" t="n">
        <f aca="false">IFERROR(C128/B128,0)</f>
        <v>0.991705350005079</v>
      </c>
      <c r="G128" s="14" t="n">
        <f aca="false">IFERROR(D128/C128,0)</f>
        <v>0.0833641380108937</v>
      </c>
      <c r="H128" s="14" t="n">
        <f aca="false">IFERROR(E128/C128,0)</f>
        <v>0.00134501387323912</v>
      </c>
      <c r="I128" s="14" t="n">
        <f aca="false">IFERROR(E128/D128,0)</f>
        <v>0.0161342023720483</v>
      </c>
      <c r="J128" s="6" t="s">
        <v>181</v>
      </c>
      <c r="K128" s="6" t="s">
        <v>314</v>
      </c>
      <c r="L128" s="6" t="s">
        <v>46</v>
      </c>
      <c r="M128" s="6" t="s">
        <v>317</v>
      </c>
    </row>
    <row r="129" customFormat="false" ht="15" hidden="false" customHeight="false" outlineLevel="0" collapsed="false">
      <c r="A129" s="13" t="s">
        <v>184</v>
      </c>
      <c r="B129" s="7" t="n">
        <v>280233</v>
      </c>
      <c r="C129" s="7" t="n">
        <v>277377</v>
      </c>
      <c r="D129" s="7" t="n">
        <v>24525</v>
      </c>
      <c r="E129" s="7" t="n">
        <v>784</v>
      </c>
      <c r="F129" s="14" t="n">
        <f aca="false">IFERROR(C129/B129,0)</f>
        <v>0.989808480799906</v>
      </c>
      <c r="G129" s="14" t="n">
        <f aca="false">IFERROR(D129/C129,0)</f>
        <v>0.0884175688683633</v>
      </c>
      <c r="H129" s="14" t="n">
        <f aca="false">IFERROR(E129/C129,0)</f>
        <v>0.00282647804251975</v>
      </c>
      <c r="I129" s="14" t="n">
        <f aca="false">IFERROR(E129/D129,0)</f>
        <v>0.031967380224261</v>
      </c>
      <c r="J129" s="6" t="s">
        <v>256</v>
      </c>
      <c r="K129" s="6" t="s">
        <v>318</v>
      </c>
      <c r="L129" s="6" t="s">
        <v>46</v>
      </c>
      <c r="M129" s="6" t="s">
        <v>319</v>
      </c>
    </row>
    <row r="130" customFormat="false" ht="15" hidden="false" customHeight="false" outlineLevel="0" collapsed="false">
      <c r="A130" s="13" t="s">
        <v>184</v>
      </c>
      <c r="B130" s="7" t="n">
        <v>202098</v>
      </c>
      <c r="C130" s="7" t="n">
        <v>200216</v>
      </c>
      <c r="D130" s="7" t="n">
        <v>17438</v>
      </c>
      <c r="E130" s="7" t="n">
        <v>321</v>
      </c>
      <c r="F130" s="14" t="n">
        <f aca="false">IFERROR(C130/B130,0)</f>
        <v>0.990687686172055</v>
      </c>
      <c r="G130" s="14" t="n">
        <f aca="false">IFERROR(D130/C130,0)</f>
        <v>0.0870959363887002</v>
      </c>
      <c r="H130" s="14" t="n">
        <f aca="false">IFERROR(E130/C130,0)</f>
        <v>0.00160326847005234</v>
      </c>
      <c r="I130" s="14" t="n">
        <f aca="false">IFERROR(E130/D130,0)</f>
        <v>0.0184080743204496</v>
      </c>
      <c r="J130" s="6" t="s">
        <v>272</v>
      </c>
      <c r="K130" s="6" t="s">
        <v>320</v>
      </c>
      <c r="L130" s="6" t="s">
        <v>46</v>
      </c>
      <c r="M130" s="6" t="s">
        <v>321</v>
      </c>
    </row>
    <row r="131" customFormat="false" ht="15" hidden="false" customHeight="false" outlineLevel="0" collapsed="false">
      <c r="A131" s="13" t="s">
        <v>184</v>
      </c>
      <c r="B131" s="7" t="n">
        <v>130194</v>
      </c>
      <c r="C131" s="7" t="n">
        <v>129173</v>
      </c>
      <c r="D131" s="7" t="n">
        <v>10306</v>
      </c>
      <c r="E131" s="7" t="n">
        <v>119</v>
      </c>
      <c r="F131" s="14" t="n">
        <f aca="false">IFERROR(C131/B131,0)</f>
        <v>0.99215785673687</v>
      </c>
      <c r="G131" s="14" t="n">
        <f aca="false">IFERROR(D131/C131,0)</f>
        <v>0.0797844750838024</v>
      </c>
      <c r="H131" s="14" t="n">
        <f aca="false">IFERROR(E131/C131,0)</f>
        <v>0.000921245151850619</v>
      </c>
      <c r="I131" s="14" t="n">
        <f aca="false">IFERROR(E131/D131,0)</f>
        <v>0.0115466718416456</v>
      </c>
      <c r="J131" s="6" t="s">
        <v>322</v>
      </c>
      <c r="K131" s="6" t="s">
        <v>323</v>
      </c>
      <c r="L131" s="6" t="s">
        <v>46</v>
      </c>
      <c r="M131" s="6" t="s">
        <v>324</v>
      </c>
    </row>
    <row r="132" customFormat="false" ht="15" hidden="false" customHeight="false" outlineLevel="0" collapsed="false">
      <c r="A132" s="13" t="s">
        <v>157</v>
      </c>
      <c r="B132" s="7" t="n">
        <v>3341</v>
      </c>
      <c r="C132" s="7" t="n">
        <v>2647</v>
      </c>
      <c r="D132" s="7" t="n">
        <v>443</v>
      </c>
      <c r="E132" s="7" t="n">
        <v>16</v>
      </c>
      <c r="F132" s="14" t="n">
        <f aca="false">IFERROR(C132/B132,0)</f>
        <v>0.792277761149356</v>
      </c>
      <c r="G132" s="14" t="n">
        <f aca="false">IFERROR(D132/C132,0)</f>
        <v>0.167359274650548</v>
      </c>
      <c r="H132" s="14" t="n">
        <f aca="false">IFERROR(E132/C132,0)</f>
        <v>0.00604457876841708</v>
      </c>
      <c r="I132" s="14" t="n">
        <f aca="false">IFERROR(E132/D132,0)</f>
        <v>0.036117381489842</v>
      </c>
      <c r="J132" s="6" t="s">
        <v>325</v>
      </c>
      <c r="K132" s="6" t="s">
        <v>147</v>
      </c>
      <c r="L132" s="6" t="s">
        <v>49</v>
      </c>
      <c r="M132" s="6" t="s">
        <v>326</v>
      </c>
    </row>
    <row r="133" customFormat="false" ht="15" hidden="false" customHeight="false" outlineLevel="0" collapsed="false">
      <c r="A133" s="13" t="s">
        <v>161</v>
      </c>
      <c r="B133" s="7" t="n">
        <v>1471</v>
      </c>
      <c r="C133" s="7" t="n">
        <v>918</v>
      </c>
      <c r="D133" s="7" t="n">
        <v>192</v>
      </c>
      <c r="E133" s="7" t="n">
        <v>25</v>
      </c>
      <c r="F133" s="14" t="n">
        <f aca="false">IFERROR(C133/B133,0)</f>
        <v>0.624065261726717</v>
      </c>
      <c r="G133" s="14" t="n">
        <f aca="false">IFERROR(D133/C133,0)</f>
        <v>0.209150326797386</v>
      </c>
      <c r="H133" s="14" t="n">
        <f aca="false">IFERROR(E133/C133,0)</f>
        <v>0.0272331154684096</v>
      </c>
      <c r="I133" s="14" t="n">
        <f aca="false">IFERROR(E133/D133,0)</f>
        <v>0.130208333333333</v>
      </c>
      <c r="J133" s="6" t="s">
        <v>327</v>
      </c>
      <c r="K133" s="6" t="s">
        <v>328</v>
      </c>
      <c r="L133" s="6" t="s">
        <v>49</v>
      </c>
      <c r="M133" s="6" t="s">
        <v>329</v>
      </c>
    </row>
    <row r="134" customFormat="false" ht="15" hidden="false" customHeight="false" outlineLevel="0" collapsed="false">
      <c r="A134" s="13" t="s">
        <v>174</v>
      </c>
      <c r="B134" s="7" t="n">
        <v>1048</v>
      </c>
      <c r="C134" s="7" t="n">
        <v>910</v>
      </c>
      <c r="D134" s="7" t="n">
        <v>186</v>
      </c>
      <c r="E134" s="7" t="n">
        <v>5</v>
      </c>
      <c r="F134" s="14" t="n">
        <f aca="false">IFERROR(C134/B134,0)</f>
        <v>0.868320610687023</v>
      </c>
      <c r="G134" s="14" t="n">
        <f aca="false">IFERROR(D134/C134,0)</f>
        <v>0.204395604395604</v>
      </c>
      <c r="H134" s="14" t="n">
        <f aca="false">IFERROR(E134/C134,0)</f>
        <v>0.0054945054945055</v>
      </c>
      <c r="I134" s="14" t="n">
        <f aca="false">IFERROR(E134/D134,0)</f>
        <v>0.0268817204301075</v>
      </c>
      <c r="J134" s="6" t="s">
        <v>300</v>
      </c>
      <c r="K134" s="6" t="s">
        <v>225</v>
      </c>
      <c r="L134" s="6" t="s">
        <v>49</v>
      </c>
      <c r="M134" s="6" t="s">
        <v>330</v>
      </c>
    </row>
    <row r="135" customFormat="false" ht="15" hidden="false" customHeight="false" outlineLevel="0" collapsed="false">
      <c r="A135" s="13" t="s">
        <v>215</v>
      </c>
      <c r="B135" s="7" t="n">
        <v>417</v>
      </c>
      <c r="C135" s="7" t="n">
        <v>383</v>
      </c>
      <c r="D135" s="7" t="n">
        <v>77</v>
      </c>
      <c r="E135" s="7" t="n">
        <v>3</v>
      </c>
      <c r="F135" s="14" t="n">
        <f aca="false">IFERROR(C135/B135,0)</f>
        <v>0.918465227817746</v>
      </c>
      <c r="G135" s="14" t="n">
        <f aca="false">IFERROR(D135/C135,0)</f>
        <v>0.201044386422977</v>
      </c>
      <c r="H135" s="14" t="n">
        <f aca="false">IFERROR(E135/C135,0)</f>
        <v>0.00783289817232376</v>
      </c>
      <c r="I135" s="14" t="n">
        <f aca="false">IFERROR(E135/D135,0)</f>
        <v>0.038961038961039</v>
      </c>
      <c r="J135" s="6" t="s">
        <v>224</v>
      </c>
      <c r="K135" s="6" t="s">
        <v>331</v>
      </c>
      <c r="L135" s="6" t="s">
        <v>49</v>
      </c>
      <c r="M135" s="6" t="s">
        <v>332</v>
      </c>
    </row>
    <row r="136" customFormat="false" ht="15" hidden="false" customHeight="false" outlineLevel="0" collapsed="false">
      <c r="A136" s="13" t="s">
        <v>202</v>
      </c>
      <c r="B136" s="7" t="n">
        <v>298</v>
      </c>
      <c r="C136" s="7" t="n">
        <v>274</v>
      </c>
      <c r="D136" s="7" t="n">
        <v>50</v>
      </c>
      <c r="E136" s="7" t="n">
        <v>2</v>
      </c>
      <c r="F136" s="14" t="n">
        <f aca="false">IFERROR(C136/B136,0)</f>
        <v>0.919463087248322</v>
      </c>
      <c r="G136" s="14" t="n">
        <f aca="false">IFERROR(D136/C136,0)</f>
        <v>0.182481751824818</v>
      </c>
      <c r="H136" s="14" t="n">
        <f aca="false">IFERROR(E136/C136,0)</f>
        <v>0.0072992700729927</v>
      </c>
      <c r="I136" s="14" t="n">
        <f aca="false">IFERROR(E136/D136,0)</f>
        <v>0.04</v>
      </c>
      <c r="J136" s="6" t="s">
        <v>224</v>
      </c>
      <c r="K136" s="6" t="s">
        <v>237</v>
      </c>
      <c r="L136" s="6" t="s">
        <v>49</v>
      </c>
      <c r="M136" s="6" t="s">
        <v>333</v>
      </c>
    </row>
    <row r="137" customFormat="false" ht="15" hidden="false" customHeight="false" outlineLevel="0" collapsed="false">
      <c r="A137" s="13" t="s">
        <v>334</v>
      </c>
      <c r="B137" s="7" t="n">
        <v>227</v>
      </c>
      <c r="C137" s="7" t="n">
        <v>218</v>
      </c>
      <c r="D137" s="7" t="n">
        <v>25</v>
      </c>
      <c r="E137" s="7" t="n">
        <v>2</v>
      </c>
      <c r="F137" s="14" t="n">
        <f aca="false">IFERROR(C137/B137,0)</f>
        <v>0.960352422907489</v>
      </c>
      <c r="G137" s="14" t="n">
        <f aca="false">IFERROR(D137/C137,0)</f>
        <v>0.114678899082569</v>
      </c>
      <c r="H137" s="14" t="n">
        <f aca="false">IFERROR(E137/C137,0)</f>
        <v>0.00917431192660551</v>
      </c>
      <c r="I137" s="14" t="n">
        <f aca="false">IFERROR(E137/D137,0)</f>
        <v>0.08</v>
      </c>
      <c r="J137" s="6" t="s">
        <v>224</v>
      </c>
      <c r="K137" s="6" t="s">
        <v>208</v>
      </c>
      <c r="L137" s="6" t="s">
        <v>49</v>
      </c>
      <c r="M137" s="6" t="s">
        <v>335</v>
      </c>
    </row>
    <row r="138" customFormat="false" ht="15" hidden="false" customHeight="false" outlineLevel="0" collapsed="false">
      <c r="A138" s="13" t="s">
        <v>336</v>
      </c>
      <c r="B138" s="7" t="n">
        <v>260</v>
      </c>
      <c r="C138" s="7" t="n">
        <v>250</v>
      </c>
      <c r="D138" s="7" t="n">
        <v>16</v>
      </c>
      <c r="E138" s="7" t="n">
        <v>1</v>
      </c>
      <c r="F138" s="14" t="n">
        <f aca="false">IFERROR(C138/B138,0)</f>
        <v>0.961538461538462</v>
      </c>
      <c r="G138" s="14" t="n">
        <f aca="false">IFERROR(D138/C138,0)</f>
        <v>0.064</v>
      </c>
      <c r="H138" s="14" t="n">
        <f aca="false">IFERROR(E138/C138,0)</f>
        <v>0.004</v>
      </c>
      <c r="I138" s="14" t="n">
        <f aca="false">IFERROR(E138/D138,0)</f>
        <v>0.0625</v>
      </c>
      <c r="J138" s="6" t="s">
        <v>224</v>
      </c>
      <c r="K138" s="6" t="s">
        <v>147</v>
      </c>
      <c r="L138" s="6" t="s">
        <v>49</v>
      </c>
      <c r="M138" s="6" t="s">
        <v>337</v>
      </c>
    </row>
    <row r="140" customFormat="false" ht="15" hidden="false" customHeight="false" outlineLevel="0" collapsed="false">
      <c r="A140" s="11" t="s">
        <v>338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customFormat="false" ht="27.75" hidden="false" customHeight="true" outlineLevel="0" collapsed="false">
      <c r="A141" s="5" t="s">
        <v>142</v>
      </c>
      <c r="B141" s="5" t="s">
        <v>111</v>
      </c>
      <c r="C141" s="5" t="s">
        <v>112</v>
      </c>
      <c r="D141" s="5" t="s">
        <v>254</v>
      </c>
      <c r="E141" s="5" t="s">
        <v>115</v>
      </c>
      <c r="F141" s="5" t="s">
        <v>126</v>
      </c>
      <c r="G141" s="23"/>
      <c r="H141" s="23"/>
      <c r="I141" s="23"/>
      <c r="J141" s="5" t="s">
        <v>21</v>
      </c>
      <c r="K141" s="5" t="s">
        <v>22</v>
      </c>
      <c r="L141" s="5" t="s">
        <v>143</v>
      </c>
      <c r="M141" s="5" t="s">
        <v>144</v>
      </c>
    </row>
    <row r="142" customFormat="false" ht="15" hidden="false" customHeight="false" outlineLevel="0" collapsed="false">
      <c r="A142" s="13" t="s">
        <v>339</v>
      </c>
      <c r="B142" s="7" t="n">
        <v>847</v>
      </c>
      <c r="C142" s="7" t="n">
        <v>803</v>
      </c>
      <c r="D142" s="7" t="n">
        <v>44</v>
      </c>
      <c r="E142" s="14" t="n">
        <f aca="false">IFERROR(C142/B142,0)</f>
        <v>0.948051948051948</v>
      </c>
      <c r="F142" s="14" t="n">
        <f aca="false">IFERROR(D142/B142,0)</f>
        <v>0.051948051948052</v>
      </c>
      <c r="J142" s="6" t="s">
        <v>340</v>
      </c>
      <c r="K142" s="6" t="s">
        <v>341</v>
      </c>
      <c r="L142" s="6" t="s">
        <v>49</v>
      </c>
      <c r="M142" s="6" t="s">
        <v>342</v>
      </c>
    </row>
    <row r="143" customFormat="false" ht="15" hidden="false" customHeight="false" outlineLevel="0" collapsed="false">
      <c r="A143" s="13" t="s">
        <v>343</v>
      </c>
      <c r="B143" s="7" t="n">
        <v>282</v>
      </c>
      <c r="C143" s="7" t="n">
        <v>267</v>
      </c>
      <c r="D143" s="7" t="n">
        <v>15</v>
      </c>
      <c r="E143" s="14" t="n">
        <f aca="false">IFERROR(C143/B143,0)</f>
        <v>0.946808510638298</v>
      </c>
      <c r="F143" s="14" t="n">
        <f aca="false">IFERROR(D143/B143,0)</f>
        <v>0.0531914893617021</v>
      </c>
      <c r="J143" s="6" t="s">
        <v>344</v>
      </c>
      <c r="K143" s="6" t="s">
        <v>345</v>
      </c>
      <c r="L143" s="6" t="s">
        <v>49</v>
      </c>
      <c r="M143" s="6" t="s">
        <v>346</v>
      </c>
    </row>
    <row r="144" customFormat="false" ht="15" hidden="false" customHeight="false" outlineLevel="0" collapsed="false">
      <c r="A144" s="13" t="s">
        <v>347</v>
      </c>
      <c r="B144" s="7" t="n">
        <v>206</v>
      </c>
      <c r="C144" s="7" t="n">
        <v>195</v>
      </c>
      <c r="D144" s="7" t="n">
        <v>11</v>
      </c>
      <c r="E144" s="14" t="n">
        <f aca="false">IFERROR(C144/B144,0)</f>
        <v>0.946601941747573</v>
      </c>
      <c r="F144" s="14" t="n">
        <f aca="false">IFERROR(D144/B144,0)</f>
        <v>0.0533980582524272</v>
      </c>
      <c r="J144" s="6" t="s">
        <v>344</v>
      </c>
      <c r="K144" s="6" t="s">
        <v>348</v>
      </c>
      <c r="L144" s="6" t="s">
        <v>49</v>
      </c>
      <c r="M144" s="6" t="s">
        <v>349</v>
      </c>
    </row>
    <row r="146" customFormat="false" ht="15" hidden="false" customHeight="false" outlineLevel="0" collapsed="false">
      <c r="A146" s="11" t="s">
        <v>229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customFormat="false" ht="27.75" hidden="false" customHeight="true" outlineLevel="0" collapsed="false">
      <c r="A147" s="5" t="s">
        <v>142</v>
      </c>
      <c r="B147" s="5" t="s">
        <v>111</v>
      </c>
      <c r="C147" s="5" t="s">
        <v>122</v>
      </c>
      <c r="D147" s="5" t="s">
        <v>123</v>
      </c>
      <c r="E147" s="5" t="s">
        <v>124</v>
      </c>
      <c r="F147" s="5" t="s">
        <v>125</v>
      </c>
      <c r="G147" s="5" t="s">
        <v>126</v>
      </c>
      <c r="H147" s="5" t="s">
        <v>127</v>
      </c>
      <c r="I147" s="23"/>
      <c r="J147" s="5" t="s">
        <v>21</v>
      </c>
      <c r="K147" s="5" t="s">
        <v>22</v>
      </c>
      <c r="L147" s="5" t="s">
        <v>143</v>
      </c>
      <c r="M147" s="5" t="s">
        <v>144</v>
      </c>
    </row>
    <row r="148" customFormat="false" ht="15" hidden="false" customHeight="false" outlineLevel="0" collapsed="false">
      <c r="A148" s="13" t="s">
        <v>180</v>
      </c>
      <c r="B148" s="7" t="n">
        <v>2429</v>
      </c>
      <c r="C148" s="7" t="n">
        <v>1563</v>
      </c>
      <c r="D148" s="7" t="n">
        <v>866</v>
      </c>
      <c r="E148" s="7" t="n">
        <v>35</v>
      </c>
      <c r="F148" s="14" t="n">
        <f aca="false">IFERROR(C148/B148,0)</f>
        <v>0.643474680938658</v>
      </c>
      <c r="G148" s="14" t="n">
        <f aca="false">IFERROR(D148/B148,0)</f>
        <v>0.356525319061342</v>
      </c>
      <c r="H148" s="14" t="n">
        <f aca="false">IFERROR(E148/B148,0)</f>
        <v>0.0144092219020173</v>
      </c>
      <c r="J148" s="6" t="s">
        <v>236</v>
      </c>
      <c r="K148" s="6" t="s">
        <v>350</v>
      </c>
      <c r="L148" s="6" t="s">
        <v>46</v>
      </c>
      <c r="M148" s="6" t="s">
        <v>351</v>
      </c>
    </row>
    <row r="149" customFormat="false" ht="15" hidden="false" customHeight="false" outlineLevel="0" collapsed="false">
      <c r="A149" s="13" t="s">
        <v>180</v>
      </c>
      <c r="B149" s="7" t="n">
        <v>255</v>
      </c>
      <c r="C149" s="7" t="n">
        <v>231</v>
      </c>
      <c r="D149" s="7" t="n">
        <v>24</v>
      </c>
      <c r="E149" s="7" t="n">
        <v>0</v>
      </c>
      <c r="F149" s="14" t="n">
        <f aca="false">IFERROR(C149/B149,0)</f>
        <v>0.905882352941177</v>
      </c>
      <c r="G149" s="14" t="n">
        <f aca="false">IFERROR(D149/B149,0)</f>
        <v>0.0941176470588235</v>
      </c>
      <c r="H149" s="14" t="n">
        <f aca="false">IFERROR(E149/B149,0)</f>
        <v>0</v>
      </c>
      <c r="J149" s="6" t="s">
        <v>236</v>
      </c>
      <c r="K149" s="6" t="s">
        <v>314</v>
      </c>
      <c r="L149" s="6" t="s">
        <v>46</v>
      </c>
      <c r="M149" s="6" t="s">
        <v>352</v>
      </c>
    </row>
    <row r="150" customFormat="false" ht="15" hidden="false" customHeight="false" outlineLevel="0" collapsed="false">
      <c r="A150" s="13" t="s">
        <v>180</v>
      </c>
      <c r="B150" s="7" t="n">
        <v>208</v>
      </c>
      <c r="C150" s="7" t="n">
        <v>201</v>
      </c>
      <c r="D150" s="7" t="n">
        <v>7</v>
      </c>
      <c r="E150" s="7" t="n">
        <v>1</v>
      </c>
      <c r="F150" s="14" t="n">
        <f aca="false">IFERROR(C150/B150,0)</f>
        <v>0.966346153846154</v>
      </c>
      <c r="G150" s="14" t="n">
        <f aca="false">IFERROR(D150/B150,0)</f>
        <v>0.0336538461538462</v>
      </c>
      <c r="H150" s="14" t="n">
        <f aca="false">IFERROR(E150/B150,0)</f>
        <v>0.00480769230769231</v>
      </c>
      <c r="J150" s="6" t="s">
        <v>236</v>
      </c>
      <c r="K150" s="6" t="s">
        <v>353</v>
      </c>
      <c r="L150" s="6" t="s">
        <v>46</v>
      </c>
      <c r="M150" s="6" t="s">
        <v>354</v>
      </c>
    </row>
    <row r="151" customFormat="false" ht="15" hidden="false" customHeight="false" outlineLevel="0" collapsed="false">
      <c r="A151" s="13" t="s">
        <v>180</v>
      </c>
      <c r="B151" s="7" t="n">
        <v>185</v>
      </c>
      <c r="C151" s="7" t="n">
        <v>184</v>
      </c>
      <c r="D151" s="7" t="n">
        <v>1</v>
      </c>
      <c r="E151" s="7" t="n">
        <v>0</v>
      </c>
      <c r="F151" s="14" t="n">
        <f aca="false">IFERROR(C151/B151,0)</f>
        <v>0.994594594594595</v>
      </c>
      <c r="G151" s="14" t="n">
        <f aca="false">IFERROR(D151/B151,0)</f>
        <v>0.00540540540540541</v>
      </c>
      <c r="H151" s="14" t="n">
        <f aca="false">IFERROR(E151/B151,0)</f>
        <v>0</v>
      </c>
      <c r="J151" s="6" t="s">
        <v>236</v>
      </c>
      <c r="K151" s="6" t="s">
        <v>314</v>
      </c>
      <c r="L151" s="6" t="s">
        <v>46</v>
      </c>
      <c r="M151" s="6" t="s">
        <v>355</v>
      </c>
    </row>
    <row r="152" customFormat="false" ht="15" hidden="false" customHeight="false" outlineLevel="0" collapsed="false">
      <c r="A152" s="13" t="s">
        <v>180</v>
      </c>
      <c r="B152" s="7" t="n">
        <v>232</v>
      </c>
      <c r="C152" s="7" t="n">
        <v>199</v>
      </c>
      <c r="D152" s="7" t="n">
        <v>33</v>
      </c>
      <c r="E152" s="7" t="n">
        <v>0</v>
      </c>
      <c r="F152" s="14" t="n">
        <f aca="false">IFERROR(C152/B152,0)</f>
        <v>0.857758620689655</v>
      </c>
      <c r="G152" s="14" t="n">
        <f aca="false">IFERROR(D152/B152,0)</f>
        <v>0.142241379310345</v>
      </c>
      <c r="H152" s="14" t="n">
        <f aca="false">IFERROR(E152/B152,0)</f>
        <v>0</v>
      </c>
      <c r="J152" s="6" t="s">
        <v>236</v>
      </c>
      <c r="K152" s="6" t="s">
        <v>356</v>
      </c>
      <c r="L152" s="6" t="s">
        <v>46</v>
      </c>
      <c r="M152" s="6" t="s">
        <v>357</v>
      </c>
    </row>
    <row r="153" customFormat="false" ht="15" hidden="false" customHeight="false" outlineLevel="0" collapsed="false">
      <c r="A153" s="13" t="s">
        <v>184</v>
      </c>
      <c r="B153" s="7" t="n">
        <v>2740</v>
      </c>
      <c r="C153" s="7" t="n">
        <v>1807</v>
      </c>
      <c r="D153" s="7" t="n">
        <v>933</v>
      </c>
      <c r="E153" s="7" t="n">
        <v>6</v>
      </c>
      <c r="F153" s="14" t="n">
        <f aca="false">IFERROR(C153/B153,0)</f>
        <v>0.659489051094891</v>
      </c>
      <c r="G153" s="14" t="n">
        <f aca="false">IFERROR(D153/B153,0)</f>
        <v>0.340510948905109</v>
      </c>
      <c r="H153" s="14" t="n">
        <f aca="false">IFERROR(E153/B153,0)</f>
        <v>0.00218978102189781</v>
      </c>
      <c r="J153" s="6" t="s">
        <v>236</v>
      </c>
      <c r="K153" s="6" t="s">
        <v>353</v>
      </c>
      <c r="L153" s="6" t="s">
        <v>46</v>
      </c>
      <c r="M153" s="6" t="s">
        <v>358</v>
      </c>
    </row>
    <row r="154" customFormat="false" ht="15" hidden="false" customHeight="false" outlineLevel="0" collapsed="false">
      <c r="A154" s="13" t="s">
        <v>184</v>
      </c>
      <c r="B154" s="7" t="n">
        <v>266</v>
      </c>
      <c r="C154" s="7" t="n">
        <v>247</v>
      </c>
      <c r="D154" s="7" t="n">
        <v>19</v>
      </c>
      <c r="E154" s="7" t="n">
        <v>0</v>
      </c>
      <c r="F154" s="14" t="n">
        <f aca="false">IFERROR(C154/B154,0)</f>
        <v>0.928571428571429</v>
      </c>
      <c r="G154" s="14" t="n">
        <f aca="false">IFERROR(D154/B154,0)</f>
        <v>0.0714285714285714</v>
      </c>
      <c r="H154" s="14" t="n">
        <f aca="false">IFERROR(E154/B154,0)</f>
        <v>0</v>
      </c>
      <c r="J154" s="6" t="s">
        <v>236</v>
      </c>
      <c r="K154" s="6" t="s">
        <v>257</v>
      </c>
      <c r="L154" s="6" t="s">
        <v>46</v>
      </c>
      <c r="M154" s="6" t="s">
        <v>359</v>
      </c>
    </row>
    <row r="155" customFormat="false" ht="15" hidden="false" customHeight="false" outlineLevel="0" collapsed="false">
      <c r="A155" s="13" t="s">
        <v>184</v>
      </c>
      <c r="B155" s="7" t="n">
        <v>276</v>
      </c>
      <c r="C155" s="7" t="n">
        <v>268</v>
      </c>
      <c r="D155" s="7" t="n">
        <v>8</v>
      </c>
      <c r="E155" s="7" t="n">
        <v>0</v>
      </c>
      <c r="F155" s="14" t="n">
        <f aca="false">IFERROR(C155/B155,0)</f>
        <v>0.971014492753623</v>
      </c>
      <c r="G155" s="14" t="n">
        <f aca="false">IFERROR(D155/B155,0)</f>
        <v>0.0289855072463768</v>
      </c>
      <c r="H155" s="14" t="n">
        <f aca="false">IFERROR(E155/B155,0)</f>
        <v>0</v>
      </c>
      <c r="J155" s="6" t="s">
        <v>236</v>
      </c>
      <c r="K155" s="6" t="s">
        <v>360</v>
      </c>
      <c r="L155" s="6" t="s">
        <v>46</v>
      </c>
      <c r="M155" s="6" t="s">
        <v>361</v>
      </c>
    </row>
    <row r="156" customFormat="false" ht="15" hidden="false" customHeight="false" outlineLevel="0" collapsed="false">
      <c r="A156" s="13" t="s">
        <v>184</v>
      </c>
      <c r="B156" s="7" t="n">
        <v>219</v>
      </c>
      <c r="C156" s="7" t="n">
        <v>217</v>
      </c>
      <c r="D156" s="7" t="n">
        <v>2</v>
      </c>
      <c r="E156" s="7" t="n">
        <v>0</v>
      </c>
      <c r="F156" s="14" t="n">
        <f aca="false">IFERROR(C156/B156,0)</f>
        <v>0.990867579908676</v>
      </c>
      <c r="G156" s="14" t="n">
        <f aca="false">IFERROR(D156/B156,0)</f>
        <v>0.0091324200913242</v>
      </c>
      <c r="H156" s="14" t="n">
        <f aca="false">IFERROR(E156/B156,0)</f>
        <v>0</v>
      </c>
      <c r="J156" s="6" t="s">
        <v>236</v>
      </c>
      <c r="K156" s="6" t="s">
        <v>323</v>
      </c>
      <c r="L156" s="6" t="s">
        <v>46</v>
      </c>
      <c r="M156" s="6" t="s">
        <v>362</v>
      </c>
    </row>
    <row r="157" customFormat="false" ht="15" hidden="false" customHeight="false" outlineLevel="0" collapsed="false">
      <c r="A157" s="13" t="s">
        <v>184</v>
      </c>
      <c r="B157" s="7" t="n">
        <v>153</v>
      </c>
      <c r="C157" s="7" t="n">
        <v>150</v>
      </c>
      <c r="D157" s="7" t="n">
        <v>3</v>
      </c>
      <c r="E157" s="7" t="n">
        <v>0</v>
      </c>
      <c r="F157" s="14" t="n">
        <f aca="false">IFERROR(C157/B157,0)</f>
        <v>0.980392156862745</v>
      </c>
      <c r="G157" s="14" t="n">
        <f aca="false">IFERROR(D157/B157,0)</f>
        <v>0.0196078431372549</v>
      </c>
      <c r="H157" s="14" t="n">
        <f aca="false">IFERROR(E157/B157,0)</f>
        <v>0</v>
      </c>
      <c r="J157" s="6" t="s">
        <v>236</v>
      </c>
      <c r="K157" s="6" t="s">
        <v>363</v>
      </c>
      <c r="L157" s="6" t="s">
        <v>46</v>
      </c>
      <c r="M157" s="6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  <col collapsed="false" customWidth="true" hidden="false" outlineLevel="0" max="11" min="10" style="0" width="10"/>
    <col collapsed="false" customWidth="true" hidden="false" outlineLevel="0" max="12" min="12" style="0" width="48"/>
    <col collapsed="false" customWidth="true" hidden="false" outlineLevel="0" max="13" min="13" style="0" width="78"/>
  </cols>
  <sheetData>
    <row r="1" customFormat="false" ht="19.7" hidden="false" customHeight="false" outlineLevel="0" collapsed="false">
      <c r="A1" s="1" t="s">
        <v>365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Format="false" ht="15" hidden="false" customHeight="false" outlineLevel="0" collapsed="false">
      <c r="A6" s="3" t="s">
        <v>366</v>
      </c>
    </row>
    <row r="7" customFormat="false" ht="15" hidden="false" customHeight="false" outlineLevel="0" collapsed="false">
      <c r="A7" s="2" t="s">
        <v>367</v>
      </c>
    </row>
    <row r="9" customFormat="false" ht="15" hidden="false" customHeight="false" outlineLevel="0" collapsed="false">
      <c r="A9" s="11" t="s">
        <v>131</v>
      </c>
      <c r="B9" s="12"/>
      <c r="C9" s="12"/>
      <c r="D9" s="12"/>
      <c r="E9" s="12"/>
      <c r="F9" s="12"/>
    </row>
    <row r="10" customFormat="false" ht="27.75" hidden="false" customHeight="true" outlineLevel="0" collapsed="false">
      <c r="A10" s="5" t="s">
        <v>110</v>
      </c>
      <c r="B10" s="5" t="s">
        <v>111</v>
      </c>
      <c r="C10" s="5" t="s">
        <v>112</v>
      </c>
      <c r="D10" s="5" t="s">
        <v>132</v>
      </c>
      <c r="E10" s="5" t="s">
        <v>115</v>
      </c>
      <c r="F10" s="5" t="s">
        <v>133</v>
      </c>
    </row>
    <row r="11" customFormat="false" ht="15" hidden="false" customHeight="false" outlineLevel="0" collapsed="false">
      <c r="A11" s="13" t="s">
        <v>57</v>
      </c>
      <c r="B11" s="7" t="n">
        <v>0</v>
      </c>
      <c r="C11" s="7" t="n">
        <v>0</v>
      </c>
      <c r="D11" s="7" t="n">
        <v>0</v>
      </c>
      <c r="E11" s="14" t="n">
        <f aca="false">IFERROR(C11/B11,0)</f>
        <v>0</v>
      </c>
      <c r="F11" s="14" t="n">
        <f aca="false">IFERROR(D11/C11,0)</f>
        <v>0</v>
      </c>
    </row>
    <row r="12" customFormat="false" ht="15" hidden="false" customHeight="false" outlineLevel="0" collapsed="false">
      <c r="A12" s="13" t="s">
        <v>51</v>
      </c>
      <c r="B12" s="7" t="n">
        <v>0</v>
      </c>
      <c r="C12" s="7" t="n">
        <v>0</v>
      </c>
      <c r="D12" s="7" t="n">
        <v>0</v>
      </c>
      <c r="E12" s="14" t="n">
        <f aca="false">IFERROR(C12/B12,0)</f>
        <v>0</v>
      </c>
      <c r="F12" s="14" t="n">
        <f aca="false">IFERROR(D12/C12,0)</f>
        <v>0</v>
      </c>
    </row>
    <row r="13" customFormat="false" ht="15" hidden="false" customHeight="false" outlineLevel="0" collapsed="false">
      <c r="A13" s="13" t="s">
        <v>38</v>
      </c>
      <c r="B13" s="7" t="n">
        <v>0</v>
      </c>
      <c r="C13" s="7" t="n">
        <v>0</v>
      </c>
      <c r="D13" s="7" t="n">
        <v>0</v>
      </c>
      <c r="E13" s="14" t="n">
        <f aca="false">IFERROR(C13/B13,0)</f>
        <v>0</v>
      </c>
      <c r="F13" s="14" t="n">
        <f aca="false">IFERROR(D13/C13,0)</f>
        <v>0</v>
      </c>
    </row>
    <row r="14" customFormat="false" ht="15" hidden="false" customHeight="false" outlineLevel="0" collapsed="false">
      <c r="A14" s="13" t="s">
        <v>53</v>
      </c>
      <c r="B14" s="7" t="n">
        <v>0</v>
      </c>
      <c r="C14" s="7" t="n">
        <v>0</v>
      </c>
      <c r="D14" s="7" t="n">
        <v>0</v>
      </c>
      <c r="E14" s="14" t="n">
        <f aca="false">IFERROR(C14/B14,0)</f>
        <v>0</v>
      </c>
      <c r="F14" s="14" t="n">
        <f aca="false">IFERROR(D14/C14,0)</f>
        <v>0</v>
      </c>
    </row>
    <row r="15" customFormat="false" ht="15" hidden="false" customHeight="false" outlineLevel="0" collapsed="false">
      <c r="A15" s="13" t="s">
        <v>134</v>
      </c>
      <c r="B15" s="7" t="n">
        <v>0</v>
      </c>
      <c r="C15" s="7" t="n">
        <v>0</v>
      </c>
      <c r="D15" s="7" t="n">
        <v>0</v>
      </c>
      <c r="E15" s="14" t="n">
        <f aca="false">IFERROR(C15/B15,0)</f>
        <v>0</v>
      </c>
      <c r="F15" s="14" t="n">
        <f aca="false">IFERROR(D15/C15,0)</f>
        <v>0</v>
      </c>
    </row>
    <row r="16" customFormat="false" ht="15" hidden="false" customHeight="false" outlineLevel="0" collapsed="false">
      <c r="A16" s="13" t="s">
        <v>135</v>
      </c>
      <c r="B16" s="7" t="n">
        <v>953</v>
      </c>
      <c r="C16" s="7" t="n">
        <v>862</v>
      </c>
      <c r="D16" s="7" t="n">
        <v>601</v>
      </c>
      <c r="E16" s="14" t="n">
        <f aca="false">IFERROR(C16/B16,0)</f>
        <v>0.904512067156348</v>
      </c>
      <c r="F16" s="14" t="n">
        <f aca="false">IFERROR(D16/C16,0)</f>
        <v>0.697215777262181</v>
      </c>
    </row>
    <row r="17" customFormat="false" ht="15" hidden="false" customHeight="false" outlineLevel="0" collapsed="false">
      <c r="A17" s="13" t="s">
        <v>30</v>
      </c>
      <c r="B17" s="7" t="n">
        <v>12810</v>
      </c>
      <c r="C17" s="7" t="n">
        <v>11687</v>
      </c>
      <c r="D17" s="7" t="n">
        <v>8787</v>
      </c>
      <c r="E17" s="14" t="n">
        <f aca="false">IFERROR(C17/B17,0)</f>
        <v>0.912334113973458</v>
      </c>
      <c r="F17" s="14" t="n">
        <f aca="false">IFERROR(D17/C17,0)</f>
        <v>0.751861042183623</v>
      </c>
    </row>
    <row r="18" customFormat="false" ht="15" hidden="false" customHeight="false" outlineLevel="0" collapsed="false">
      <c r="A18" s="13" t="s">
        <v>119</v>
      </c>
      <c r="B18" s="7" t="n">
        <v>8392</v>
      </c>
      <c r="C18" s="7" t="n">
        <v>7916</v>
      </c>
      <c r="D18" s="7" t="n">
        <v>6155</v>
      </c>
      <c r="E18" s="14" t="n">
        <f aca="false">IFERROR(C18/B18,0)</f>
        <v>0.943279313632031</v>
      </c>
      <c r="F18" s="14" t="n">
        <f aca="false">IFERROR(D18/C18,0)</f>
        <v>0.777539161192521</v>
      </c>
    </row>
    <row r="19" customFormat="false" ht="15" hidden="false" customHeight="false" outlineLevel="0" collapsed="false">
      <c r="A19" s="13" t="s">
        <v>45</v>
      </c>
      <c r="B19" s="7" t="n">
        <v>0</v>
      </c>
      <c r="C19" s="7" t="n">
        <v>2</v>
      </c>
      <c r="D19" s="7" t="n">
        <v>37</v>
      </c>
      <c r="E19" s="14" t="n">
        <f aca="false">IFERROR(C19/B19,0)</f>
        <v>0</v>
      </c>
      <c r="F19" s="14" t="n">
        <f aca="false">IFERROR(D19/C19,0)</f>
        <v>18.5</v>
      </c>
    </row>
    <row r="20" customFormat="false" ht="15" hidden="false" customHeight="false" outlineLevel="0" collapsed="false">
      <c r="A20" s="13" t="s">
        <v>60</v>
      </c>
      <c r="B20" s="7" t="n">
        <v>269792</v>
      </c>
      <c r="C20" s="7" t="n">
        <v>225044</v>
      </c>
      <c r="D20" s="7" t="n">
        <v>176492</v>
      </c>
      <c r="E20" s="14" t="n">
        <f aca="false">IFERROR(C20/B20,0)</f>
        <v>0.834138892183608</v>
      </c>
      <c r="F20" s="14" t="n">
        <f aca="false">IFERROR(D20/C20,0)</f>
        <v>0.78425552336432</v>
      </c>
    </row>
    <row r="21" customFormat="false" ht="15" hidden="false" customHeight="false" outlineLevel="0" collapsed="false">
      <c r="A21" s="13" t="s">
        <v>41</v>
      </c>
      <c r="B21" s="7" t="n">
        <v>3801</v>
      </c>
      <c r="C21" s="7" t="n">
        <v>3507</v>
      </c>
      <c r="D21" s="7" t="n">
        <v>3086</v>
      </c>
      <c r="E21" s="14" t="n">
        <f aca="false">IFERROR(C21/B21,0)</f>
        <v>0.922651933701657</v>
      </c>
      <c r="F21" s="14" t="n">
        <f aca="false">IFERROR(D21/C21,0)</f>
        <v>0.879954376960365</v>
      </c>
    </row>
    <row r="22" customFormat="false" ht="15" hidden="false" customHeight="false" outlineLevel="0" collapsed="false">
      <c r="A22" s="13" t="s">
        <v>33</v>
      </c>
      <c r="B22" s="7" t="n">
        <v>11371</v>
      </c>
      <c r="C22" s="7" t="n">
        <v>10251</v>
      </c>
      <c r="D22" s="7" t="n">
        <v>7843</v>
      </c>
      <c r="E22" s="14" t="n">
        <f aca="false">IFERROR(C22/B22,0)</f>
        <v>0.901503825521062</v>
      </c>
      <c r="F22" s="14" t="n">
        <f aca="false">IFERROR(D22/C22,0)</f>
        <v>0.765096088186518</v>
      </c>
    </row>
    <row r="23" customFormat="false" ht="15" hidden="false" customHeight="false" outlineLevel="0" collapsed="false">
      <c r="A23" s="13" t="s">
        <v>48</v>
      </c>
      <c r="B23" s="7" t="n">
        <v>11027</v>
      </c>
      <c r="C23" s="7" t="n">
        <v>10058</v>
      </c>
      <c r="D23" s="7" t="n">
        <v>7604</v>
      </c>
      <c r="E23" s="14" t="n">
        <f aca="false">IFERROR(C23/B23,0)</f>
        <v>0.91212478461957</v>
      </c>
      <c r="F23" s="14" t="n">
        <f aca="false">IFERROR(D23/C23,0)</f>
        <v>0.756015112348379</v>
      </c>
    </row>
    <row r="24" customFormat="false" ht="15" hidden="false" customHeight="false" outlineLevel="0" collapsed="false">
      <c r="A24" s="13" t="s">
        <v>31</v>
      </c>
      <c r="B24" s="7" t="n">
        <v>9901</v>
      </c>
      <c r="C24" s="7" t="n">
        <v>9160</v>
      </c>
      <c r="D24" s="7" t="n">
        <v>6822</v>
      </c>
      <c r="E24" s="14" t="n">
        <f aca="false">IFERROR(C24/B24,0)</f>
        <v>0.925159074840925</v>
      </c>
      <c r="F24" s="14" t="n">
        <f aca="false">IFERROR(D24/C24,0)</f>
        <v>0.744759825327511</v>
      </c>
    </row>
    <row r="25" customFormat="false" ht="15" hidden="false" customHeight="false" outlineLevel="0" collapsed="false">
      <c r="A25" s="15" t="s">
        <v>120</v>
      </c>
      <c r="B25" s="16" t="n">
        <f aca="false">SUM(B11:B24)</f>
        <v>328047</v>
      </c>
      <c r="C25" s="16" t="n">
        <f aca="false">SUM(C11:C24)</f>
        <v>278487</v>
      </c>
      <c r="D25" s="16" t="n">
        <f aca="false">SUM(D11:D24)</f>
        <v>217427</v>
      </c>
      <c r="E25" s="17" t="n">
        <f aca="false">IFERROR(C25/B25,0)</f>
        <v>0.848924087097276</v>
      </c>
      <c r="F25" s="17" t="n">
        <f aca="false">IFERROR(D25/C25,0)</f>
        <v>0.780743804917285</v>
      </c>
    </row>
    <row r="27" customFormat="false" ht="15" hidden="false" customHeight="false" outlineLevel="0" collapsed="false">
      <c r="A27" s="11" t="s">
        <v>109</v>
      </c>
      <c r="B27" s="12"/>
      <c r="C27" s="12"/>
      <c r="D27" s="12"/>
      <c r="E27" s="12"/>
      <c r="F27" s="12"/>
      <c r="G27" s="12"/>
      <c r="H27" s="12"/>
      <c r="I27" s="12"/>
    </row>
    <row r="28" customFormat="false" ht="27.75" hidden="false" customHeight="true" outlineLevel="0" collapsed="false">
      <c r="A28" s="5" t="s">
        <v>110</v>
      </c>
      <c r="B28" s="5" t="s">
        <v>111</v>
      </c>
      <c r="C28" s="5" t="s">
        <v>112</v>
      </c>
      <c r="D28" s="5" t="s">
        <v>113</v>
      </c>
      <c r="E28" s="5" t="s">
        <v>114</v>
      </c>
      <c r="F28" s="5" t="s">
        <v>115</v>
      </c>
      <c r="G28" s="5" t="s">
        <v>116</v>
      </c>
      <c r="H28" s="5" t="s">
        <v>117</v>
      </c>
      <c r="I28" s="5" t="s">
        <v>118</v>
      </c>
    </row>
    <row r="29" customFormat="false" ht="15" hidden="false" customHeight="false" outlineLevel="0" collapsed="false">
      <c r="A29" s="13" t="s">
        <v>30</v>
      </c>
      <c r="B29" s="7" t="n">
        <v>3279</v>
      </c>
      <c r="C29" s="7" t="n">
        <v>3183</v>
      </c>
      <c r="D29" s="7" t="n">
        <v>1266</v>
      </c>
      <c r="E29" s="7" t="n">
        <v>45</v>
      </c>
      <c r="F29" s="14" t="n">
        <f aca="false">IFERROR(C29/B29,0)</f>
        <v>0.970722781335773</v>
      </c>
      <c r="G29" s="14" t="n">
        <f aca="false">IFERROR(D29/C29,0)</f>
        <v>0.397737983034873</v>
      </c>
      <c r="H29" s="14" t="n">
        <f aca="false">IFERROR(E29/C29,0)</f>
        <v>0.0141376060320452</v>
      </c>
      <c r="I29" s="14" t="n">
        <f aca="false">IFERROR(E29/D29,0)</f>
        <v>0.0355450236966825</v>
      </c>
    </row>
    <row r="30" customFormat="false" ht="15" hidden="false" customHeight="false" outlineLevel="0" collapsed="false">
      <c r="A30" s="13" t="s">
        <v>119</v>
      </c>
      <c r="B30" s="7" t="n">
        <v>2968</v>
      </c>
      <c r="C30" s="7" t="n">
        <v>2896</v>
      </c>
      <c r="D30" s="7" t="n">
        <v>1079</v>
      </c>
      <c r="E30" s="7" t="n">
        <v>25</v>
      </c>
      <c r="F30" s="14" t="n">
        <f aca="false">IFERROR(C30/B30,0)</f>
        <v>0.975741239892183</v>
      </c>
      <c r="G30" s="14" t="n">
        <f aca="false">IFERROR(D30/C30,0)</f>
        <v>0.372582872928177</v>
      </c>
      <c r="H30" s="14" t="n">
        <f aca="false">IFERROR(E30/C30,0)</f>
        <v>0.00863259668508287</v>
      </c>
      <c r="I30" s="14" t="n">
        <f aca="false">IFERROR(E30/D30,0)</f>
        <v>0.0231696014828545</v>
      </c>
    </row>
    <row r="31" customFormat="false" ht="15" hidden="false" customHeight="false" outlineLevel="0" collapsed="false">
      <c r="A31" s="13" t="s">
        <v>45</v>
      </c>
      <c r="B31" s="7" t="n">
        <v>0</v>
      </c>
      <c r="C31" s="7" t="n">
        <v>0</v>
      </c>
      <c r="D31" s="7" t="n">
        <v>0</v>
      </c>
      <c r="E31" s="7" t="n">
        <v>0</v>
      </c>
      <c r="F31" s="14" t="n">
        <f aca="false">IFERROR(C31/B31,0)</f>
        <v>0</v>
      </c>
      <c r="G31" s="14" t="n">
        <f aca="false">IFERROR(D31/C31,0)</f>
        <v>0</v>
      </c>
      <c r="H31" s="14" t="n">
        <f aca="false">IFERROR(E31/C31,0)</f>
        <v>0</v>
      </c>
      <c r="I31" s="14" t="n">
        <f aca="false">IFERROR(E31/D31,0)</f>
        <v>0</v>
      </c>
    </row>
    <row r="32" customFormat="false" ht="15" hidden="false" customHeight="false" outlineLevel="0" collapsed="false">
      <c r="A32" s="13" t="s">
        <v>60</v>
      </c>
      <c r="B32" s="7" t="n">
        <v>0</v>
      </c>
      <c r="C32" s="7" t="n">
        <v>0</v>
      </c>
      <c r="D32" s="7" t="n">
        <v>0</v>
      </c>
      <c r="E32" s="7" t="n">
        <v>0</v>
      </c>
      <c r="F32" s="14" t="n">
        <f aca="false">IFERROR(C32/B32,0)</f>
        <v>0</v>
      </c>
      <c r="G32" s="14" t="n">
        <f aca="false">IFERROR(D32/C32,0)</f>
        <v>0</v>
      </c>
      <c r="H32" s="14" t="n">
        <f aca="false">IFERROR(E32/C32,0)</f>
        <v>0</v>
      </c>
      <c r="I32" s="14" t="n">
        <f aca="false">IFERROR(E32/D32,0)</f>
        <v>0</v>
      </c>
    </row>
    <row r="33" customFormat="false" ht="15" hidden="false" customHeight="false" outlineLevel="0" collapsed="false">
      <c r="A33" s="13" t="s">
        <v>41</v>
      </c>
      <c r="B33" s="7" t="n">
        <v>3617</v>
      </c>
      <c r="C33" s="7" t="n">
        <v>3477</v>
      </c>
      <c r="D33" s="7" t="n">
        <v>978</v>
      </c>
      <c r="E33" s="7" t="n">
        <v>18</v>
      </c>
      <c r="F33" s="14" t="n">
        <f aca="false">IFERROR(C33/B33,0)</f>
        <v>0.961293889964059</v>
      </c>
      <c r="G33" s="14" t="n">
        <f aca="false">IFERROR(D33/C33,0)</f>
        <v>0.281276962899051</v>
      </c>
      <c r="H33" s="14" t="n">
        <f aca="false">IFERROR(E33/C33,0)</f>
        <v>0.00517687661777394</v>
      </c>
      <c r="I33" s="14" t="n">
        <f aca="false">IFERROR(E33/D33,0)</f>
        <v>0.0184049079754601</v>
      </c>
    </row>
    <row r="34" customFormat="false" ht="15" hidden="false" customHeight="false" outlineLevel="0" collapsed="false">
      <c r="A34" s="13" t="s">
        <v>33</v>
      </c>
      <c r="B34" s="7" t="n">
        <v>10668</v>
      </c>
      <c r="C34" s="7" t="n">
        <v>10432</v>
      </c>
      <c r="D34" s="7" t="n">
        <v>2808</v>
      </c>
      <c r="E34" s="7" t="n">
        <v>20</v>
      </c>
      <c r="F34" s="14" t="n">
        <f aca="false">IFERROR(C34/B34,0)</f>
        <v>0.97787776527934</v>
      </c>
      <c r="G34" s="14" t="n">
        <f aca="false">IFERROR(D34/C34,0)</f>
        <v>0.269171779141104</v>
      </c>
      <c r="H34" s="14" t="n">
        <f aca="false">IFERROR(E34/C34,0)</f>
        <v>0.00191717791411043</v>
      </c>
      <c r="I34" s="14" t="n">
        <f aca="false">IFERROR(E34/D34,0)</f>
        <v>0.00712250712250712</v>
      </c>
    </row>
    <row r="35" customFormat="false" ht="15" hidden="false" customHeight="false" outlineLevel="0" collapsed="false">
      <c r="A35" s="13" t="s">
        <v>48</v>
      </c>
      <c r="B35" s="7" t="n">
        <v>10448</v>
      </c>
      <c r="C35" s="7" t="n">
        <v>10165</v>
      </c>
      <c r="D35" s="7" t="n">
        <v>2904</v>
      </c>
      <c r="E35" s="7" t="n">
        <v>40</v>
      </c>
      <c r="F35" s="14" t="n">
        <f aca="false">IFERROR(C35/B35,0)</f>
        <v>0.9729134762634</v>
      </c>
      <c r="G35" s="14" t="n">
        <f aca="false">IFERROR(D35/C35,0)</f>
        <v>0.285686178061977</v>
      </c>
      <c r="H35" s="14" t="n">
        <f aca="false">IFERROR(E35/C35,0)</f>
        <v>0.00393507132316773</v>
      </c>
      <c r="I35" s="14" t="n">
        <f aca="false">IFERROR(E35/D35,0)</f>
        <v>0.0137741046831956</v>
      </c>
    </row>
    <row r="36" customFormat="false" ht="15" hidden="false" customHeight="false" outlineLevel="0" collapsed="false">
      <c r="A36" s="13" t="s">
        <v>31</v>
      </c>
      <c r="B36" s="7" t="n">
        <v>9373</v>
      </c>
      <c r="C36" s="7" t="n">
        <v>9088</v>
      </c>
      <c r="D36" s="7" t="n">
        <v>2394</v>
      </c>
      <c r="E36" s="7" t="n">
        <v>21</v>
      </c>
      <c r="F36" s="14" t="n">
        <f aca="false">IFERROR(C36/B36,0)</f>
        <v>0.969593513282834</v>
      </c>
      <c r="G36" s="14" t="n">
        <f aca="false">IFERROR(D36/C36,0)</f>
        <v>0.263424295774648</v>
      </c>
      <c r="H36" s="14" t="n">
        <f aca="false">IFERROR(E36/C36,0)</f>
        <v>0.00231073943661972</v>
      </c>
      <c r="I36" s="14" t="n">
        <f aca="false">IFERROR(E36/D36,0)</f>
        <v>0.0087719298245614</v>
      </c>
    </row>
    <row r="37" customFormat="false" ht="15" hidden="false" customHeight="false" outlineLevel="0" collapsed="false">
      <c r="A37" s="15" t="s">
        <v>120</v>
      </c>
      <c r="B37" s="16" t="n">
        <f aca="false">SUM(B29:B36)</f>
        <v>40353</v>
      </c>
      <c r="C37" s="16" t="n">
        <f aca="false">SUM(C29:C36)</f>
        <v>39241</v>
      </c>
      <c r="D37" s="16" t="n">
        <f aca="false">SUM(D29:D36)</f>
        <v>11429</v>
      </c>
      <c r="E37" s="16" t="n">
        <f aca="false">SUM(E29:E36)</f>
        <v>169</v>
      </c>
      <c r="F37" s="17" t="n">
        <f aca="false">IFERROR(C37/B37,0)</f>
        <v>0.972443188858325</v>
      </c>
      <c r="G37" s="17" t="n">
        <f aca="false">IFERROR(D37/C37,0)</f>
        <v>0.291251497158584</v>
      </c>
      <c r="H37" s="17" t="n">
        <f aca="false">IFERROR(E37/C37,0)</f>
        <v>0.0043067200122321</v>
      </c>
      <c r="I37" s="17" t="n">
        <f aca="false">IFERROR(E37/D37,0)</f>
        <v>0.0147869454895441</v>
      </c>
    </row>
    <row r="40" customFormat="false" ht="15" hidden="false" customHeight="false" outlineLevel="0" collapsed="false">
      <c r="A40" s="3" t="s">
        <v>368</v>
      </c>
    </row>
    <row r="41" customFormat="false" ht="15" hidden="false" customHeight="false" outlineLevel="0" collapsed="false">
      <c r="A41" s="2" t="s">
        <v>369</v>
      </c>
    </row>
    <row r="42" customFormat="false" ht="15" hidden="false" customHeight="false" outlineLevel="0" collapsed="false">
      <c r="A42" s="20" t="s">
        <v>370</v>
      </c>
    </row>
    <row r="44" customFormat="false" ht="15" hidden="false" customHeight="false" outlineLevel="0" collapsed="false">
      <c r="A44" s="11" t="s">
        <v>131</v>
      </c>
      <c r="B44" s="12"/>
      <c r="C44" s="12"/>
      <c r="D44" s="12"/>
      <c r="E44" s="12"/>
      <c r="F44" s="12"/>
    </row>
    <row r="45" customFormat="false" ht="27.75" hidden="false" customHeight="true" outlineLevel="0" collapsed="false">
      <c r="A45" s="5" t="s">
        <v>110</v>
      </c>
      <c r="B45" s="5" t="s">
        <v>111</v>
      </c>
      <c r="C45" s="5" t="s">
        <v>112</v>
      </c>
      <c r="D45" s="5" t="s">
        <v>132</v>
      </c>
      <c r="E45" s="5" t="s">
        <v>115</v>
      </c>
      <c r="F45" s="5" t="s">
        <v>133</v>
      </c>
    </row>
    <row r="46" customFormat="false" ht="15" hidden="false" customHeight="false" outlineLevel="0" collapsed="false">
      <c r="A46" s="13" t="s">
        <v>60</v>
      </c>
      <c r="B46" s="7" t="n">
        <v>269820</v>
      </c>
      <c r="C46" s="7" t="n">
        <v>238427</v>
      </c>
      <c r="D46" s="7" t="n">
        <v>178727</v>
      </c>
      <c r="E46" s="14" t="n">
        <f aca="false">IFERROR(C46/B46,0)</f>
        <v>0.883652064339189</v>
      </c>
      <c r="F46" s="14" t="n">
        <f aca="false">IFERROR(D46/C46,0)</f>
        <v>0.749608894965755</v>
      </c>
    </row>
    <row r="47" customFormat="false" ht="15" hidden="false" customHeight="false" outlineLevel="0" collapsed="false">
      <c r="A47" s="13" t="s">
        <v>41</v>
      </c>
      <c r="B47" s="7" t="n">
        <v>0</v>
      </c>
      <c r="C47" s="7" t="n">
        <v>3</v>
      </c>
      <c r="D47" s="7" t="n">
        <v>849</v>
      </c>
      <c r="E47" s="14" t="n">
        <f aca="false">IFERROR(C47/B47,0)</f>
        <v>0</v>
      </c>
      <c r="F47" s="14" t="n">
        <f aca="false">IFERROR(D47/C47,0)</f>
        <v>283</v>
      </c>
    </row>
    <row r="48" customFormat="false" ht="15" hidden="false" customHeight="false" outlineLevel="0" collapsed="false">
      <c r="A48" s="15" t="s">
        <v>120</v>
      </c>
      <c r="B48" s="16" t="n">
        <f aca="false">SUM(B46:B47)</f>
        <v>269820</v>
      </c>
      <c r="C48" s="16" t="n">
        <f aca="false">SUM(C46:C47)</f>
        <v>238430</v>
      </c>
      <c r="D48" s="16" t="n">
        <f aca="false">SUM(D46:D47)</f>
        <v>179576</v>
      </c>
      <c r="E48" s="17" t="n">
        <f aca="false">IFERROR(C48/B48,0)</f>
        <v>0.883663182862649</v>
      </c>
      <c r="F48" s="17" t="n">
        <f aca="false">IFERROR(D48/C48,0)</f>
        <v>0.753160256679109</v>
      </c>
    </row>
    <row r="51" customFormat="false" ht="15" hidden="false" customHeight="false" outlineLevel="0" collapsed="false">
      <c r="A51" s="18" t="s">
        <v>128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3" customFormat="false" ht="15" hidden="false" customHeight="false" outlineLevel="0" collapsed="false">
      <c r="A53" s="3" t="s">
        <v>371</v>
      </c>
    </row>
    <row r="54" customFormat="false" ht="15" hidden="false" customHeight="false" outlineLevel="0" collapsed="false">
      <c r="A54" s="2" t="s">
        <v>372</v>
      </c>
    </row>
    <row r="55" customFormat="false" ht="15" hidden="false" customHeight="false" outlineLevel="0" collapsed="false">
      <c r="A55" s="20" t="s">
        <v>373</v>
      </c>
    </row>
    <row r="57" customFormat="false" ht="15" hidden="false" customHeight="false" outlineLevel="0" collapsed="false">
      <c r="A57" s="11" t="s">
        <v>131</v>
      </c>
      <c r="B57" s="12"/>
      <c r="C57" s="12"/>
      <c r="D57" s="12"/>
      <c r="E57" s="12"/>
      <c r="F57" s="12"/>
    </row>
    <row r="58" customFormat="false" ht="27.75" hidden="false" customHeight="true" outlineLevel="0" collapsed="false">
      <c r="A58" s="5" t="s">
        <v>110</v>
      </c>
      <c r="B58" s="5" t="s">
        <v>111</v>
      </c>
      <c r="C58" s="5" t="s">
        <v>112</v>
      </c>
      <c r="D58" s="5" t="s">
        <v>132</v>
      </c>
      <c r="E58" s="5" t="s">
        <v>115</v>
      </c>
      <c r="F58" s="5" t="s">
        <v>133</v>
      </c>
    </row>
    <row r="59" customFormat="false" ht="15" hidden="false" customHeight="false" outlineLevel="0" collapsed="false">
      <c r="A59" s="13" t="s">
        <v>51</v>
      </c>
      <c r="B59" s="7" t="n">
        <v>111</v>
      </c>
      <c r="C59" s="7" t="n">
        <v>103</v>
      </c>
      <c r="D59" s="7" t="n">
        <v>78</v>
      </c>
      <c r="E59" s="14" t="n">
        <f aca="false">IFERROR(C59/B59,0)</f>
        <v>0.927927927927928</v>
      </c>
      <c r="F59" s="14" t="n">
        <f aca="false">IFERROR(D59/C59,0)</f>
        <v>0.757281553398058</v>
      </c>
    </row>
    <row r="60" customFormat="false" ht="15" hidden="false" customHeight="false" outlineLevel="0" collapsed="false">
      <c r="A60" s="13" t="s">
        <v>38</v>
      </c>
      <c r="B60" s="7" t="n">
        <v>1059</v>
      </c>
      <c r="C60" s="7" t="n">
        <v>980</v>
      </c>
      <c r="D60" s="7" t="n">
        <v>813</v>
      </c>
      <c r="E60" s="14" t="n">
        <f aca="false">IFERROR(C60/B60,0)</f>
        <v>0.925401322001889</v>
      </c>
      <c r="F60" s="14" t="n">
        <f aca="false">IFERROR(D60/C60,0)</f>
        <v>0.829591836734694</v>
      </c>
    </row>
    <row r="61" customFormat="false" ht="15" hidden="false" customHeight="false" outlineLevel="0" collapsed="false">
      <c r="A61" s="13" t="s">
        <v>53</v>
      </c>
      <c r="B61" s="7" t="n">
        <v>4119</v>
      </c>
      <c r="C61" s="7" t="n">
        <v>3727</v>
      </c>
      <c r="D61" s="7" t="n">
        <v>2920</v>
      </c>
      <c r="E61" s="14" t="n">
        <f aca="false">IFERROR(C61/B61,0)</f>
        <v>0.904831269725662</v>
      </c>
      <c r="F61" s="14" t="n">
        <f aca="false">IFERROR(D61/C61,0)</f>
        <v>0.783471961363027</v>
      </c>
    </row>
    <row r="62" customFormat="false" ht="15" hidden="false" customHeight="false" outlineLevel="0" collapsed="false">
      <c r="A62" s="13" t="s">
        <v>134</v>
      </c>
      <c r="B62" s="7" t="n">
        <v>12393</v>
      </c>
      <c r="C62" s="7" t="n">
        <v>11216</v>
      </c>
      <c r="D62" s="7" t="n">
        <v>9564</v>
      </c>
      <c r="E62" s="14" t="n">
        <f aca="false">IFERROR(C62/B62,0)</f>
        <v>0.905027031388687</v>
      </c>
      <c r="F62" s="14" t="n">
        <f aca="false">IFERROR(D62/C62,0)</f>
        <v>0.852710413694722</v>
      </c>
    </row>
    <row r="63" customFormat="false" ht="15" hidden="false" customHeight="false" outlineLevel="0" collapsed="false">
      <c r="A63" s="13" t="s">
        <v>135</v>
      </c>
      <c r="B63" s="7" t="n">
        <v>9360</v>
      </c>
      <c r="C63" s="7" t="n">
        <v>8838</v>
      </c>
      <c r="D63" s="7" t="n">
        <v>7387</v>
      </c>
      <c r="E63" s="14" t="n">
        <f aca="false">IFERROR(C63/B63,0)</f>
        <v>0.944230769230769</v>
      </c>
      <c r="F63" s="14" t="n">
        <f aca="false">IFERROR(D63/C63,0)</f>
        <v>0.835822584295089</v>
      </c>
    </row>
    <row r="64" customFormat="false" ht="15" hidden="false" customHeight="false" outlineLevel="0" collapsed="false">
      <c r="A64" s="13" t="s">
        <v>30</v>
      </c>
      <c r="B64" s="7" t="n">
        <v>7621</v>
      </c>
      <c r="C64" s="7" t="n">
        <v>7190</v>
      </c>
      <c r="D64" s="7" t="n">
        <v>6260</v>
      </c>
      <c r="E64" s="14" t="n">
        <f aca="false">IFERROR(C64/B64,0)</f>
        <v>0.943445742028605</v>
      </c>
      <c r="F64" s="14" t="n">
        <f aca="false">IFERROR(D64/C64,0)</f>
        <v>0.870653685674548</v>
      </c>
    </row>
    <row r="65" customFormat="false" ht="15" hidden="false" customHeight="false" outlineLevel="0" collapsed="false">
      <c r="A65" s="13" t="s">
        <v>119</v>
      </c>
      <c r="B65" s="7" t="n">
        <v>6503</v>
      </c>
      <c r="C65" s="7" t="n">
        <v>6185</v>
      </c>
      <c r="D65" s="7" t="n">
        <v>5172</v>
      </c>
      <c r="E65" s="14" t="n">
        <f aca="false">IFERROR(C65/B65,0)</f>
        <v>0.951099492541904</v>
      </c>
      <c r="F65" s="14" t="n">
        <f aca="false">IFERROR(D65/C65,0)</f>
        <v>0.836216653193209</v>
      </c>
    </row>
    <row r="66" customFormat="false" ht="15" hidden="false" customHeight="false" outlineLevel="0" collapsed="false">
      <c r="A66" s="13" t="s">
        <v>45</v>
      </c>
      <c r="B66" s="7" t="n">
        <v>7527</v>
      </c>
      <c r="C66" s="7" t="n">
        <v>6842</v>
      </c>
      <c r="D66" s="7" t="n">
        <v>5687</v>
      </c>
      <c r="E66" s="14" t="n">
        <f aca="false">IFERROR(C66/B66,0)</f>
        <v>0.908994287232629</v>
      </c>
      <c r="F66" s="14" t="n">
        <f aca="false">IFERROR(D66/C66,0)</f>
        <v>0.831189710610933</v>
      </c>
    </row>
    <row r="67" customFormat="false" ht="15" hidden="false" customHeight="false" outlineLevel="0" collapsed="false">
      <c r="A67" s="13" t="s">
        <v>60</v>
      </c>
      <c r="B67" s="7" t="n">
        <v>3823</v>
      </c>
      <c r="C67" s="7" t="n">
        <v>3581</v>
      </c>
      <c r="D67" s="7" t="n">
        <v>3031</v>
      </c>
      <c r="E67" s="14" t="n">
        <f aca="false">IFERROR(C67/B67,0)</f>
        <v>0.936698927543814</v>
      </c>
      <c r="F67" s="14" t="n">
        <f aca="false">IFERROR(D67/C67,0)</f>
        <v>0.846411616866797</v>
      </c>
    </row>
    <row r="68" customFormat="false" ht="15" hidden="false" customHeight="false" outlineLevel="0" collapsed="false">
      <c r="A68" s="13" t="s">
        <v>41</v>
      </c>
      <c r="B68" s="7" t="n">
        <v>1463</v>
      </c>
      <c r="C68" s="7" t="n">
        <v>1357</v>
      </c>
      <c r="D68" s="7" t="n">
        <v>1056</v>
      </c>
      <c r="E68" s="14" t="n">
        <f aca="false">IFERROR(C68/B68,0)</f>
        <v>0.927546138072454</v>
      </c>
      <c r="F68" s="14" t="n">
        <f aca="false">IFERROR(D68/C68,0)</f>
        <v>0.778187177597642</v>
      </c>
    </row>
    <row r="69" customFormat="false" ht="15" hidden="false" customHeight="false" outlineLevel="0" collapsed="false">
      <c r="A69" s="13" t="s">
        <v>33</v>
      </c>
      <c r="B69" s="7" t="n">
        <v>5915</v>
      </c>
      <c r="C69" s="7" t="n">
        <v>5423</v>
      </c>
      <c r="D69" s="7" t="n">
        <v>4316</v>
      </c>
      <c r="E69" s="14" t="n">
        <f aca="false">IFERROR(C69/B69,0)</f>
        <v>0.916821639898563</v>
      </c>
      <c r="F69" s="14" t="n">
        <f aca="false">IFERROR(D69/C69,0)</f>
        <v>0.795869444956666</v>
      </c>
    </row>
    <row r="70" customFormat="false" ht="15" hidden="false" customHeight="false" outlineLevel="0" collapsed="false">
      <c r="A70" s="13" t="s">
        <v>48</v>
      </c>
      <c r="B70" s="7" t="n">
        <v>6425</v>
      </c>
      <c r="C70" s="7" t="n">
        <v>6022</v>
      </c>
      <c r="D70" s="7" t="n">
        <v>4749</v>
      </c>
      <c r="E70" s="14" t="n">
        <f aca="false">IFERROR(C70/B70,0)</f>
        <v>0.93727626459144</v>
      </c>
      <c r="F70" s="14" t="n">
        <f aca="false">IFERROR(D70/C70,0)</f>
        <v>0.788608435735636</v>
      </c>
    </row>
    <row r="71" customFormat="false" ht="15" hidden="false" customHeight="false" outlineLevel="0" collapsed="false">
      <c r="A71" s="13" t="s">
        <v>31</v>
      </c>
      <c r="B71" s="7" t="n">
        <v>3085</v>
      </c>
      <c r="C71" s="7" t="n">
        <v>2885</v>
      </c>
      <c r="D71" s="7" t="n">
        <v>2338</v>
      </c>
      <c r="E71" s="14" t="n">
        <f aca="false">IFERROR(C71/B71,0)</f>
        <v>0.93517017828201</v>
      </c>
      <c r="F71" s="14" t="n">
        <f aca="false">IFERROR(D71/C71,0)</f>
        <v>0.810398613518198</v>
      </c>
    </row>
    <row r="72" customFormat="false" ht="15" hidden="false" customHeight="false" outlineLevel="0" collapsed="false">
      <c r="A72" s="15" t="s">
        <v>120</v>
      </c>
      <c r="B72" s="16" t="n">
        <f aca="false">SUM(B59:B71)</f>
        <v>69404</v>
      </c>
      <c r="C72" s="16" t="n">
        <f aca="false">SUM(C59:C71)</f>
        <v>64349</v>
      </c>
      <c r="D72" s="16" t="n">
        <f aca="false">SUM(D59:D71)</f>
        <v>53371</v>
      </c>
      <c r="E72" s="17" t="n">
        <f aca="false">IFERROR(C72/B72,0)</f>
        <v>0.927165581234511</v>
      </c>
      <c r="F72" s="17" t="n">
        <f aca="false">IFERROR(D72/C72,0)</f>
        <v>0.829399058260424</v>
      </c>
    </row>
    <row r="74" customFormat="false" ht="15" hidden="false" customHeight="false" outlineLevel="0" collapsed="false">
      <c r="A74" s="11" t="s">
        <v>109</v>
      </c>
      <c r="B74" s="12"/>
      <c r="C74" s="12"/>
      <c r="D74" s="12"/>
      <c r="E74" s="12"/>
      <c r="F74" s="12"/>
      <c r="G74" s="12"/>
      <c r="H74" s="12"/>
      <c r="I74" s="12"/>
    </row>
    <row r="75" customFormat="false" ht="27.75" hidden="false" customHeight="true" outlineLevel="0" collapsed="false">
      <c r="A75" s="5" t="s">
        <v>110</v>
      </c>
      <c r="B75" s="5" t="s">
        <v>111</v>
      </c>
      <c r="C75" s="5" t="s">
        <v>112</v>
      </c>
      <c r="D75" s="5" t="s">
        <v>113</v>
      </c>
      <c r="E75" s="5" t="s">
        <v>114</v>
      </c>
      <c r="F75" s="5" t="s">
        <v>115</v>
      </c>
      <c r="G75" s="5" t="s">
        <v>116</v>
      </c>
      <c r="H75" s="5" t="s">
        <v>117</v>
      </c>
      <c r="I75" s="5" t="s">
        <v>118</v>
      </c>
    </row>
    <row r="76" customFormat="false" ht="15" hidden="false" customHeight="false" outlineLevel="0" collapsed="false">
      <c r="A76" s="13" t="s">
        <v>30</v>
      </c>
      <c r="B76" s="7" t="n">
        <v>2299</v>
      </c>
      <c r="C76" s="7" t="n">
        <v>570</v>
      </c>
      <c r="D76" s="7" t="n">
        <v>123</v>
      </c>
      <c r="E76" s="7" t="n">
        <v>4</v>
      </c>
      <c r="F76" s="14" t="n">
        <f aca="false">IFERROR(C76/B76,0)</f>
        <v>0.247933884297521</v>
      </c>
      <c r="G76" s="14" t="n">
        <f aca="false">IFERROR(D76/C76,0)</f>
        <v>0.215789473684211</v>
      </c>
      <c r="H76" s="14" t="n">
        <f aca="false">IFERROR(E76/C76,0)</f>
        <v>0.00701754385964912</v>
      </c>
      <c r="I76" s="14" t="n">
        <f aca="false">IFERROR(E76/D76,0)</f>
        <v>0.032520325203252</v>
      </c>
    </row>
    <row r="77" customFormat="false" ht="15" hidden="false" customHeight="false" outlineLevel="0" collapsed="false">
      <c r="A77" s="13" t="s">
        <v>119</v>
      </c>
      <c r="B77" s="7" t="n">
        <v>2910</v>
      </c>
      <c r="C77" s="7" t="n">
        <v>675</v>
      </c>
      <c r="D77" s="7" t="n">
        <v>215</v>
      </c>
      <c r="E77" s="7" t="n">
        <v>7</v>
      </c>
      <c r="F77" s="14" t="n">
        <f aca="false">IFERROR(C77/B77,0)</f>
        <v>0.231958762886598</v>
      </c>
      <c r="G77" s="14" t="n">
        <f aca="false">IFERROR(D77/C77,0)</f>
        <v>0.318518518518519</v>
      </c>
      <c r="H77" s="14" t="n">
        <f aca="false">IFERROR(E77/C77,0)</f>
        <v>0.0103703703703704</v>
      </c>
      <c r="I77" s="14" t="n">
        <f aca="false">IFERROR(E77/D77,0)</f>
        <v>0.0325581395348837</v>
      </c>
    </row>
    <row r="78" customFormat="false" ht="15" hidden="false" customHeight="false" outlineLevel="0" collapsed="false">
      <c r="A78" s="13" t="s">
        <v>45</v>
      </c>
      <c r="B78" s="7" t="n">
        <v>3296</v>
      </c>
      <c r="C78" s="7" t="n">
        <v>771</v>
      </c>
      <c r="D78" s="7" t="n">
        <v>207</v>
      </c>
      <c r="E78" s="7" t="n">
        <v>9</v>
      </c>
      <c r="F78" s="14" t="n">
        <f aca="false">IFERROR(C78/B78,0)</f>
        <v>0.233919902912621</v>
      </c>
      <c r="G78" s="14" t="n">
        <f aca="false">IFERROR(D78/C78,0)</f>
        <v>0.268482490272374</v>
      </c>
      <c r="H78" s="14" t="n">
        <f aca="false">IFERROR(E78/C78,0)</f>
        <v>0.0116731517509728</v>
      </c>
      <c r="I78" s="14" t="n">
        <f aca="false">IFERROR(E78/D78,0)</f>
        <v>0.0434782608695652</v>
      </c>
    </row>
    <row r="79" customFormat="false" ht="15" hidden="false" customHeight="false" outlineLevel="0" collapsed="false">
      <c r="A79" s="13" t="s">
        <v>60</v>
      </c>
      <c r="B79" s="7" t="n">
        <v>2135</v>
      </c>
      <c r="C79" s="7" t="n">
        <v>496</v>
      </c>
      <c r="D79" s="7" t="n">
        <v>154</v>
      </c>
      <c r="E79" s="7" t="n">
        <v>10</v>
      </c>
      <c r="F79" s="14" t="n">
        <f aca="false">IFERROR(C79/B79,0)</f>
        <v>0.23231850117096</v>
      </c>
      <c r="G79" s="14" t="n">
        <f aca="false">IFERROR(D79/C79,0)</f>
        <v>0.310483870967742</v>
      </c>
      <c r="H79" s="14" t="n">
        <f aca="false">IFERROR(E79/C79,0)</f>
        <v>0.0201612903225806</v>
      </c>
      <c r="I79" s="14" t="n">
        <f aca="false">IFERROR(E79/D79,0)</f>
        <v>0.0649350649350649</v>
      </c>
    </row>
    <row r="80" customFormat="false" ht="15" hidden="false" customHeight="false" outlineLevel="0" collapsed="false">
      <c r="A80" s="13" t="s">
        <v>41</v>
      </c>
      <c r="B80" s="7" t="n">
        <v>242</v>
      </c>
      <c r="C80" s="7" t="n">
        <v>221</v>
      </c>
      <c r="D80" s="7" t="n">
        <v>36</v>
      </c>
      <c r="E80" s="7" t="n">
        <v>0</v>
      </c>
      <c r="F80" s="14" t="n">
        <f aca="false">IFERROR(C80/B80,0)</f>
        <v>0.913223140495868</v>
      </c>
      <c r="G80" s="14" t="n">
        <f aca="false">IFERROR(D80/C80,0)</f>
        <v>0.16289592760181</v>
      </c>
      <c r="H80" s="14" t="n">
        <f aca="false">IFERROR(E80/C80,0)</f>
        <v>0</v>
      </c>
      <c r="I80" s="14" t="n">
        <f aca="false">IFERROR(E80/D80,0)</f>
        <v>0</v>
      </c>
    </row>
    <row r="81" customFormat="false" ht="15" hidden="false" customHeight="false" outlineLevel="0" collapsed="false">
      <c r="A81" s="13" t="s">
        <v>33</v>
      </c>
      <c r="B81" s="7" t="n">
        <v>1594</v>
      </c>
      <c r="C81" s="7" t="n">
        <v>1463</v>
      </c>
      <c r="D81" s="7" t="n">
        <v>249</v>
      </c>
      <c r="E81" s="7" t="n">
        <v>13</v>
      </c>
      <c r="F81" s="14" t="n">
        <f aca="false">IFERROR(C81/B81,0)</f>
        <v>0.917816813048934</v>
      </c>
      <c r="G81" s="14" t="n">
        <f aca="false">IFERROR(D81/C81,0)</f>
        <v>0.170198222829802</v>
      </c>
      <c r="H81" s="14" t="n">
        <f aca="false">IFERROR(E81/C81,0)</f>
        <v>0.00888585099111415</v>
      </c>
      <c r="I81" s="14" t="n">
        <f aca="false">IFERROR(E81/D81,0)</f>
        <v>0.0522088353413655</v>
      </c>
    </row>
    <row r="82" customFormat="false" ht="15" hidden="false" customHeight="false" outlineLevel="0" collapsed="false">
      <c r="A82" s="13" t="s">
        <v>48</v>
      </c>
      <c r="B82" s="7" t="n">
        <v>1734</v>
      </c>
      <c r="C82" s="7" t="n">
        <v>1600</v>
      </c>
      <c r="D82" s="7" t="n">
        <v>309</v>
      </c>
      <c r="E82" s="7" t="n">
        <v>10</v>
      </c>
      <c r="F82" s="14" t="n">
        <f aca="false">IFERROR(C82/B82,0)</f>
        <v>0.922722029988466</v>
      </c>
      <c r="G82" s="14" t="n">
        <f aca="false">IFERROR(D82/C82,0)</f>
        <v>0.193125</v>
      </c>
      <c r="H82" s="14" t="n">
        <f aca="false">IFERROR(E82/C82,0)</f>
        <v>0.00625</v>
      </c>
      <c r="I82" s="14" t="n">
        <f aca="false">IFERROR(E82/D82,0)</f>
        <v>0.0323624595469256</v>
      </c>
    </row>
    <row r="83" customFormat="false" ht="15" hidden="false" customHeight="false" outlineLevel="0" collapsed="false">
      <c r="A83" s="13" t="s">
        <v>31</v>
      </c>
      <c r="B83" s="7" t="n">
        <v>631</v>
      </c>
      <c r="C83" s="7" t="n">
        <v>566</v>
      </c>
      <c r="D83" s="7" t="n">
        <v>98</v>
      </c>
      <c r="E83" s="7" t="n">
        <v>8</v>
      </c>
      <c r="F83" s="14" t="n">
        <f aca="false">IFERROR(C83/B83,0)</f>
        <v>0.896988906497623</v>
      </c>
      <c r="G83" s="14" t="n">
        <f aca="false">IFERROR(D83/C83,0)</f>
        <v>0.173144876325088</v>
      </c>
      <c r="H83" s="14" t="n">
        <f aca="false">IFERROR(E83/C83,0)</f>
        <v>0.0141342756183746</v>
      </c>
      <c r="I83" s="14" t="n">
        <f aca="false">IFERROR(E83/D83,0)</f>
        <v>0.0816326530612245</v>
      </c>
    </row>
    <row r="84" customFormat="false" ht="15" hidden="false" customHeight="false" outlineLevel="0" collapsed="false">
      <c r="A84" s="15" t="s">
        <v>120</v>
      </c>
      <c r="B84" s="16" t="n">
        <f aca="false">SUM(B76:B83)</f>
        <v>14841</v>
      </c>
      <c r="C84" s="16" t="n">
        <f aca="false">SUM(C76:C83)</f>
        <v>6362</v>
      </c>
      <c r="D84" s="16" t="n">
        <f aca="false">SUM(D76:D83)</f>
        <v>1391</v>
      </c>
      <c r="E84" s="16" t="n">
        <f aca="false">SUM(E76:E83)</f>
        <v>61</v>
      </c>
      <c r="F84" s="17" t="n">
        <f aca="false">IFERROR(C84/B84,0)</f>
        <v>0.428677312849538</v>
      </c>
      <c r="G84" s="17" t="n">
        <f aca="false">IFERROR(D84/C84,0)</f>
        <v>0.218641936497957</v>
      </c>
      <c r="H84" s="17" t="n">
        <f aca="false">IFERROR(E84/C84,0)</f>
        <v>0.0095881798176674</v>
      </c>
      <c r="I84" s="17" t="n">
        <f aca="false">IFERROR(E84/D84,0)</f>
        <v>0.0438533429187635</v>
      </c>
    </row>
    <row r="87" customFormat="false" ht="15" hidden="false" customHeight="false" outlineLevel="0" collapsed="false">
      <c r="A87" s="21" t="s">
        <v>139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customFormat="false" ht="15" hidden="false" customHeight="false" outlineLevel="0" collapsed="false">
      <c r="A88" s="2" t="s">
        <v>140</v>
      </c>
    </row>
    <row r="90" customFormat="false" ht="15" hidden="false" customHeight="false" outlineLevel="0" collapsed="false">
      <c r="A90" s="11" t="s">
        <v>141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customFormat="false" ht="27.75" hidden="false" customHeight="true" outlineLevel="0" collapsed="false">
      <c r="A91" s="5" t="s">
        <v>142</v>
      </c>
      <c r="B91" s="5" t="s">
        <v>111</v>
      </c>
      <c r="C91" s="5" t="s">
        <v>112</v>
      </c>
      <c r="D91" s="5" t="s">
        <v>132</v>
      </c>
      <c r="E91" s="5" t="s">
        <v>115</v>
      </c>
      <c r="F91" s="5" t="s">
        <v>133</v>
      </c>
      <c r="G91" s="23"/>
      <c r="H91" s="23"/>
      <c r="I91" s="23"/>
      <c r="J91" s="5" t="s">
        <v>21</v>
      </c>
      <c r="K91" s="5" t="s">
        <v>22</v>
      </c>
      <c r="L91" s="5" t="s">
        <v>143</v>
      </c>
      <c r="M91" s="5" t="s">
        <v>144</v>
      </c>
    </row>
    <row r="92" customFormat="false" ht="15" hidden="false" customHeight="false" outlineLevel="0" collapsed="false">
      <c r="A92" s="13" t="s">
        <v>157</v>
      </c>
      <c r="B92" s="7" t="n">
        <v>328047</v>
      </c>
      <c r="C92" s="7" t="n">
        <v>278487</v>
      </c>
      <c r="D92" s="7" t="n">
        <v>217427</v>
      </c>
      <c r="E92" s="14" t="n">
        <f aca="false">IFERROR(C92/B92,0)</f>
        <v>0.848924087097276</v>
      </c>
      <c r="F92" s="14" t="n">
        <f aca="false">IFERROR(D92/C92,0)</f>
        <v>0.780743804917285</v>
      </c>
      <c r="J92" s="6" t="s">
        <v>374</v>
      </c>
      <c r="K92" s="6" t="s">
        <v>147</v>
      </c>
      <c r="L92" s="6" t="s">
        <v>55</v>
      </c>
      <c r="M92" s="6" t="s">
        <v>375</v>
      </c>
    </row>
    <row r="93" customFormat="false" ht="15" hidden="false" customHeight="false" outlineLevel="0" collapsed="false">
      <c r="A93" s="13" t="s">
        <v>376</v>
      </c>
      <c r="B93" s="7" t="n">
        <v>269820</v>
      </c>
      <c r="C93" s="7" t="n">
        <v>238430</v>
      </c>
      <c r="D93" s="7" t="n">
        <v>179576</v>
      </c>
      <c r="E93" s="14" t="n">
        <f aca="false">IFERROR(C93/B93,0)</f>
        <v>0.883663182862649</v>
      </c>
      <c r="F93" s="14" t="n">
        <f aca="false">IFERROR(D93/C93,0)</f>
        <v>0.753160256679109</v>
      </c>
      <c r="J93" s="6" t="s">
        <v>322</v>
      </c>
      <c r="K93" s="6" t="s">
        <v>377</v>
      </c>
      <c r="L93" s="6" t="s">
        <v>58</v>
      </c>
      <c r="M93" s="6" t="s">
        <v>378</v>
      </c>
    </row>
    <row r="94" customFormat="false" ht="15" hidden="false" customHeight="false" outlineLevel="0" collapsed="false">
      <c r="A94" s="13" t="s">
        <v>157</v>
      </c>
      <c r="B94" s="7" t="n">
        <v>34462</v>
      </c>
      <c r="C94" s="7" t="n">
        <v>31910</v>
      </c>
      <c r="D94" s="7" t="n">
        <v>26437</v>
      </c>
      <c r="E94" s="14" t="n">
        <f aca="false">IFERROR(C94/B94,0)</f>
        <v>0.925947420347049</v>
      </c>
      <c r="F94" s="14" t="n">
        <f aca="false">IFERROR(D94/C94,0)</f>
        <v>0.828486367909746</v>
      </c>
      <c r="J94" s="6" t="s">
        <v>379</v>
      </c>
      <c r="K94" s="6" t="s">
        <v>147</v>
      </c>
      <c r="L94" s="6" t="s">
        <v>61</v>
      </c>
      <c r="M94" s="6" t="s">
        <v>380</v>
      </c>
    </row>
    <row r="95" customFormat="false" ht="15" hidden="false" customHeight="false" outlineLevel="0" collapsed="false">
      <c r="A95" s="13" t="s">
        <v>194</v>
      </c>
      <c r="B95" s="7" t="n">
        <v>1522</v>
      </c>
      <c r="C95" s="7" t="n">
        <v>1407</v>
      </c>
      <c r="D95" s="7" t="n">
        <v>1120</v>
      </c>
      <c r="E95" s="14" t="n">
        <f aca="false">IFERROR(C95/B95,0)</f>
        <v>0.924441524310118</v>
      </c>
      <c r="F95" s="14" t="n">
        <f aca="false">IFERROR(D95/C95,0)</f>
        <v>0.796019900497513</v>
      </c>
      <c r="J95" s="6" t="s">
        <v>230</v>
      </c>
      <c r="K95" s="6" t="s">
        <v>147</v>
      </c>
      <c r="L95" s="6" t="s">
        <v>61</v>
      </c>
      <c r="M95" s="6" t="s">
        <v>381</v>
      </c>
    </row>
    <row r="96" customFormat="false" ht="15" hidden="false" customHeight="false" outlineLevel="0" collapsed="false">
      <c r="A96" s="13" t="s">
        <v>194</v>
      </c>
      <c r="B96" s="7" t="n">
        <v>16846</v>
      </c>
      <c r="C96" s="7" t="n">
        <v>15561</v>
      </c>
      <c r="D96" s="7" t="n">
        <v>13092</v>
      </c>
      <c r="E96" s="14" t="n">
        <f aca="false">IFERROR(C96/B96,0)</f>
        <v>0.923720764573192</v>
      </c>
      <c r="F96" s="14" t="n">
        <f aca="false">IFERROR(D96/C96,0)</f>
        <v>0.841334104491999</v>
      </c>
      <c r="J96" s="6" t="s">
        <v>178</v>
      </c>
      <c r="K96" s="6" t="s">
        <v>382</v>
      </c>
      <c r="L96" s="6" t="s">
        <v>61</v>
      </c>
      <c r="M96" s="6" t="s">
        <v>383</v>
      </c>
    </row>
    <row r="97" customFormat="false" ht="15" hidden="false" customHeight="false" outlineLevel="0" collapsed="false">
      <c r="A97" s="13" t="s">
        <v>194</v>
      </c>
      <c r="B97" s="7" t="n">
        <v>381</v>
      </c>
      <c r="C97" s="7" t="n">
        <v>353</v>
      </c>
      <c r="D97" s="7" t="n">
        <v>262</v>
      </c>
      <c r="E97" s="14" t="n">
        <f aca="false">IFERROR(C97/B97,0)</f>
        <v>0.926509186351706</v>
      </c>
      <c r="F97" s="14" t="n">
        <f aca="false">IFERROR(D97/C97,0)</f>
        <v>0.742209631728045</v>
      </c>
      <c r="J97" s="6" t="s">
        <v>230</v>
      </c>
      <c r="K97" s="6" t="s">
        <v>147</v>
      </c>
      <c r="L97" s="6" t="s">
        <v>61</v>
      </c>
      <c r="M97" s="6" t="s">
        <v>384</v>
      </c>
    </row>
    <row r="98" customFormat="false" ht="15" hidden="false" customHeight="false" outlineLevel="0" collapsed="false">
      <c r="A98" s="13" t="s">
        <v>194</v>
      </c>
      <c r="B98" s="7" t="n">
        <v>1819</v>
      </c>
      <c r="C98" s="7" t="n">
        <v>1726</v>
      </c>
      <c r="D98" s="7" t="n">
        <v>1368</v>
      </c>
      <c r="E98" s="14" t="n">
        <f aca="false">IFERROR(C98/B98,0)</f>
        <v>0.948873007146784</v>
      </c>
      <c r="F98" s="14" t="n">
        <f aca="false">IFERROR(D98/C98,0)</f>
        <v>0.792584009269988</v>
      </c>
      <c r="J98" s="6" t="s">
        <v>230</v>
      </c>
      <c r="K98" s="6" t="s">
        <v>147</v>
      </c>
      <c r="L98" s="6" t="s">
        <v>61</v>
      </c>
      <c r="M98" s="6" t="s">
        <v>385</v>
      </c>
    </row>
    <row r="99" customFormat="false" ht="15" hidden="false" customHeight="false" outlineLevel="0" collapsed="false">
      <c r="A99" s="13" t="s">
        <v>194</v>
      </c>
      <c r="B99" s="7" t="n">
        <v>13942</v>
      </c>
      <c r="C99" s="7" t="n">
        <v>12975</v>
      </c>
      <c r="D99" s="7" t="n">
        <v>10778</v>
      </c>
      <c r="E99" s="14" t="n">
        <f aca="false">IFERROR(C99/B99,0)</f>
        <v>0.930641227944341</v>
      </c>
      <c r="F99" s="14" t="n">
        <f aca="false">IFERROR(D99/C99,0)</f>
        <v>0.830674373795761</v>
      </c>
      <c r="J99" s="6" t="s">
        <v>178</v>
      </c>
      <c r="K99" s="6" t="s">
        <v>386</v>
      </c>
      <c r="L99" s="6" t="s">
        <v>61</v>
      </c>
      <c r="M99" s="6" t="s">
        <v>387</v>
      </c>
    </row>
    <row r="100" customFormat="false" ht="15" hidden="false" customHeight="false" outlineLevel="0" collapsed="false">
      <c r="A100" s="13" t="s">
        <v>194</v>
      </c>
      <c r="B100" s="7" t="n">
        <v>432</v>
      </c>
      <c r="C100" s="7" t="n">
        <v>417</v>
      </c>
      <c r="D100" s="7" t="n">
        <v>314</v>
      </c>
      <c r="E100" s="14" t="n">
        <f aca="false">IFERROR(C100/B100,0)</f>
        <v>0.965277777777778</v>
      </c>
      <c r="F100" s="14" t="n">
        <f aca="false">IFERROR(D100/C100,0)</f>
        <v>0.752997601918465</v>
      </c>
      <c r="J100" s="6" t="s">
        <v>230</v>
      </c>
      <c r="K100" s="6" t="s">
        <v>147</v>
      </c>
      <c r="L100" s="6" t="s">
        <v>61</v>
      </c>
      <c r="M100" s="6" t="s">
        <v>388</v>
      </c>
    </row>
    <row r="102" customFormat="false" ht="15" hidden="false" customHeight="false" outlineLevel="0" collapsed="false">
      <c r="A102" s="11" t="s">
        <v>191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customFormat="false" ht="27.75" hidden="false" customHeight="true" outlineLevel="0" collapsed="false">
      <c r="A103" s="5" t="s">
        <v>142</v>
      </c>
      <c r="B103" s="5" t="s">
        <v>111</v>
      </c>
      <c r="C103" s="5" t="s">
        <v>112</v>
      </c>
      <c r="D103" s="5" t="s">
        <v>113</v>
      </c>
      <c r="E103" s="5" t="s">
        <v>114</v>
      </c>
      <c r="F103" s="5" t="s">
        <v>115</v>
      </c>
      <c r="G103" s="5" t="s">
        <v>116</v>
      </c>
      <c r="H103" s="5" t="s">
        <v>117</v>
      </c>
      <c r="I103" s="5" t="s">
        <v>118</v>
      </c>
      <c r="J103" s="5" t="s">
        <v>21</v>
      </c>
      <c r="K103" s="5" t="s">
        <v>22</v>
      </c>
      <c r="L103" s="5" t="s">
        <v>143</v>
      </c>
      <c r="M103" s="5" t="s">
        <v>144</v>
      </c>
    </row>
    <row r="104" customFormat="false" ht="15" hidden="false" customHeight="false" outlineLevel="0" collapsed="false">
      <c r="A104" s="13" t="s">
        <v>288</v>
      </c>
      <c r="B104" s="7" t="n">
        <v>40353</v>
      </c>
      <c r="C104" s="7" t="n">
        <v>39241</v>
      </c>
      <c r="D104" s="7" t="n">
        <v>11429</v>
      </c>
      <c r="E104" s="7" t="n">
        <v>169</v>
      </c>
      <c r="F104" s="14" t="n">
        <f aca="false">IFERROR(C104/B104,0)</f>
        <v>0.972443188858325</v>
      </c>
      <c r="G104" s="14" t="n">
        <f aca="false">IFERROR(D104/C104,0)</f>
        <v>0.291251497158584</v>
      </c>
      <c r="H104" s="14" t="n">
        <f aca="false">IFERROR(E104/C104,0)</f>
        <v>0.0043067200122321</v>
      </c>
      <c r="I104" s="14" t="n">
        <f aca="false">IFERROR(E104/D104,0)</f>
        <v>0.0147869454895441</v>
      </c>
      <c r="J104" s="6" t="s">
        <v>192</v>
      </c>
      <c r="K104" s="6" t="s">
        <v>208</v>
      </c>
      <c r="L104" s="6" t="s">
        <v>55</v>
      </c>
      <c r="M104" s="6" t="s">
        <v>389</v>
      </c>
    </row>
    <row r="105" customFormat="false" ht="15" hidden="false" customHeight="false" outlineLevel="0" collapsed="false">
      <c r="A105" s="13" t="s">
        <v>157</v>
      </c>
      <c r="B105" s="7" t="n">
        <v>7078</v>
      </c>
      <c r="C105" s="7" t="n">
        <v>3231</v>
      </c>
      <c r="D105" s="7" t="n">
        <v>690</v>
      </c>
      <c r="E105" s="7" t="n">
        <v>34</v>
      </c>
      <c r="F105" s="14" t="n">
        <f aca="false">IFERROR(C105/B105,0)</f>
        <v>0.456484882735236</v>
      </c>
      <c r="G105" s="14" t="n">
        <f aca="false">IFERROR(D105/C105,0)</f>
        <v>0.21355617455896</v>
      </c>
      <c r="H105" s="14" t="n">
        <f aca="false">IFERROR(E105/C105,0)</f>
        <v>0.0105230578768183</v>
      </c>
      <c r="I105" s="14" t="n">
        <f aca="false">IFERROR(E105/D105,0)</f>
        <v>0.0492753623188406</v>
      </c>
      <c r="J105" s="6" t="s">
        <v>192</v>
      </c>
      <c r="K105" s="6" t="s">
        <v>147</v>
      </c>
      <c r="L105" s="6" t="s">
        <v>61</v>
      </c>
      <c r="M105" s="6" t="s">
        <v>390</v>
      </c>
    </row>
    <row r="106" customFormat="false" ht="15" hidden="false" customHeight="false" outlineLevel="0" collapsed="false">
      <c r="A106" s="13" t="s">
        <v>288</v>
      </c>
      <c r="B106" s="7" t="n">
        <v>2568</v>
      </c>
      <c r="C106" s="7" t="n">
        <v>1180</v>
      </c>
      <c r="D106" s="7" t="n">
        <v>262</v>
      </c>
      <c r="E106" s="7" t="n">
        <v>9</v>
      </c>
      <c r="F106" s="14" t="n">
        <f aca="false">IFERROR(C106/B106,0)</f>
        <v>0.459501557632399</v>
      </c>
      <c r="G106" s="14" t="n">
        <f aca="false">IFERROR(D106/C106,0)</f>
        <v>0.222033898305085</v>
      </c>
      <c r="H106" s="14" t="n">
        <f aca="false">IFERROR(E106/C106,0)</f>
        <v>0.0076271186440678</v>
      </c>
      <c r="I106" s="14" t="n">
        <f aca="false">IFERROR(E106/D106,0)</f>
        <v>0.0343511450381679</v>
      </c>
      <c r="J106" s="6" t="s">
        <v>192</v>
      </c>
      <c r="K106" s="6" t="s">
        <v>147</v>
      </c>
      <c r="L106" s="6" t="s">
        <v>61</v>
      </c>
      <c r="M106" s="6" t="s">
        <v>391</v>
      </c>
    </row>
    <row r="107" customFormat="false" ht="15" hidden="false" customHeight="false" outlineLevel="0" collapsed="false">
      <c r="A107" s="13" t="s">
        <v>288</v>
      </c>
      <c r="B107" s="7" t="n">
        <v>3471</v>
      </c>
      <c r="C107" s="7" t="n">
        <v>1439</v>
      </c>
      <c r="D107" s="7" t="n">
        <v>347</v>
      </c>
      <c r="E107" s="7" t="n">
        <v>14</v>
      </c>
      <c r="F107" s="14" t="n">
        <f aca="false">IFERROR(C107/B107,0)</f>
        <v>0.414577931431864</v>
      </c>
      <c r="G107" s="14" t="n">
        <f aca="false">IFERROR(D107/C107,0)</f>
        <v>0.241139680333565</v>
      </c>
      <c r="H107" s="14" t="n">
        <f aca="false">IFERROR(E107/C107,0)</f>
        <v>0.00972897845726199</v>
      </c>
      <c r="I107" s="14" t="n">
        <f aca="false">IFERROR(E107/D107,0)</f>
        <v>0.0403458213256484</v>
      </c>
      <c r="J107" s="6" t="s">
        <v>224</v>
      </c>
      <c r="K107" s="6" t="s">
        <v>147</v>
      </c>
      <c r="L107" s="6" t="s">
        <v>61</v>
      </c>
      <c r="M107" s="6" t="s">
        <v>392</v>
      </c>
    </row>
    <row r="108" customFormat="false" ht="15" hidden="false" customHeight="false" outlineLevel="0" collapsed="false">
      <c r="A108" s="13" t="s">
        <v>291</v>
      </c>
      <c r="B108" s="7" t="n">
        <v>438</v>
      </c>
      <c r="C108" s="7" t="n">
        <v>197</v>
      </c>
      <c r="D108" s="7" t="n">
        <v>41</v>
      </c>
      <c r="E108" s="7" t="n">
        <v>1</v>
      </c>
      <c r="F108" s="14" t="n">
        <f aca="false">IFERROR(C108/B108,0)</f>
        <v>0.449771689497717</v>
      </c>
      <c r="G108" s="14" t="n">
        <f aca="false">IFERROR(D108/C108,0)</f>
        <v>0.208121827411168</v>
      </c>
      <c r="H108" s="14" t="n">
        <f aca="false">IFERROR(E108/C108,0)</f>
        <v>0.0050761421319797</v>
      </c>
      <c r="I108" s="14" t="n">
        <f aca="false">IFERROR(E108/D108,0)</f>
        <v>0.024390243902439</v>
      </c>
      <c r="J108" s="6" t="s">
        <v>224</v>
      </c>
      <c r="K108" s="6" t="s">
        <v>225</v>
      </c>
      <c r="L108" s="6" t="s">
        <v>61</v>
      </c>
      <c r="M108" s="6" t="s">
        <v>393</v>
      </c>
    </row>
    <row r="109" customFormat="false" ht="15" hidden="false" customHeight="false" outlineLevel="0" collapsed="false">
      <c r="A109" s="13" t="s">
        <v>291</v>
      </c>
      <c r="B109" s="7" t="n">
        <v>1286</v>
      </c>
      <c r="C109" s="7" t="n">
        <v>315</v>
      </c>
      <c r="D109" s="7" t="n">
        <v>51</v>
      </c>
      <c r="E109" s="7" t="n">
        <v>3</v>
      </c>
      <c r="F109" s="14" t="n">
        <f aca="false">IFERROR(C109/B109,0)</f>
        <v>0.244945567651633</v>
      </c>
      <c r="G109" s="14" t="n">
        <f aca="false">IFERROR(D109/C109,0)</f>
        <v>0.161904761904762</v>
      </c>
      <c r="H109" s="14" t="n">
        <f aca="false">IFERROR(E109/C109,0)</f>
        <v>0.00952380952380953</v>
      </c>
      <c r="I109" s="14" t="n">
        <f aca="false">IFERROR(E109/D109,0)</f>
        <v>0.0588235294117647</v>
      </c>
      <c r="J109" s="6" t="s">
        <v>224</v>
      </c>
      <c r="K109" s="6" t="s">
        <v>225</v>
      </c>
      <c r="L109" s="6" t="s">
        <v>61</v>
      </c>
      <c r="M109" s="6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14"/>
    <col collapsed="false" customWidth="true" hidden="false" outlineLevel="0" max="11" min="10" style="0" width="10"/>
    <col collapsed="false" customWidth="true" hidden="false" outlineLevel="0" max="12" min="12" style="0" width="48"/>
    <col collapsed="false" customWidth="true" hidden="false" outlineLevel="0" max="13" min="13" style="0" width="78"/>
  </cols>
  <sheetData>
    <row r="1" customFormat="false" ht="19.7" hidden="false" customHeight="false" outlineLevel="0" collapsed="false">
      <c r="A1" s="1" t="s">
        <v>395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9" t="s">
        <v>26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6" customFormat="false" ht="15" hidden="false" customHeight="false" outlineLevel="0" collapsed="false">
      <c r="A6" s="3" t="s">
        <v>396</v>
      </c>
    </row>
    <row r="7" customFormat="false" ht="15" hidden="false" customHeight="false" outlineLevel="0" collapsed="false">
      <c r="A7" s="2" t="s">
        <v>397</v>
      </c>
    </row>
    <row r="9" customFormat="false" ht="15" hidden="false" customHeight="false" outlineLevel="0" collapsed="false">
      <c r="A9" s="11" t="s">
        <v>109</v>
      </c>
      <c r="B9" s="12"/>
      <c r="C9" s="12"/>
      <c r="D9" s="12"/>
      <c r="E9" s="12"/>
      <c r="F9" s="12"/>
      <c r="G9" s="12"/>
      <c r="H9" s="12"/>
      <c r="I9" s="12"/>
    </row>
    <row r="10" customFormat="false" ht="27.75" hidden="false" customHeight="true" outlineLevel="0" collapsed="false">
      <c r="A10" s="5" t="s">
        <v>110</v>
      </c>
      <c r="B10" s="5" t="s">
        <v>111</v>
      </c>
      <c r="C10" s="5" t="s">
        <v>112</v>
      </c>
      <c r="D10" s="5" t="s">
        <v>113</v>
      </c>
      <c r="E10" s="5" t="s">
        <v>114</v>
      </c>
      <c r="F10" s="5" t="s">
        <v>115</v>
      </c>
      <c r="G10" s="5" t="s">
        <v>116</v>
      </c>
      <c r="H10" s="5" t="s">
        <v>117</v>
      </c>
      <c r="I10" s="5" t="s">
        <v>118</v>
      </c>
    </row>
    <row r="11" customFormat="false" ht="15" hidden="false" customHeight="false" outlineLevel="0" collapsed="false">
      <c r="A11" s="13" t="s">
        <v>45</v>
      </c>
      <c r="B11" s="7" t="n">
        <v>1399</v>
      </c>
      <c r="C11" s="7" t="n">
        <v>1383</v>
      </c>
      <c r="D11" s="7" t="n">
        <v>125</v>
      </c>
      <c r="E11" s="7" t="n">
        <v>1</v>
      </c>
      <c r="F11" s="14" t="n">
        <f aca="false">IFERROR(C11/B11,0)</f>
        <v>0.988563259471051</v>
      </c>
      <c r="G11" s="14" t="n">
        <f aca="false">IFERROR(D11/C11,0)</f>
        <v>0.0903832248734635</v>
      </c>
      <c r="H11" s="14" t="n">
        <f aca="false">IFERROR(E11/C11,0)</f>
        <v>0.000723065798987708</v>
      </c>
      <c r="I11" s="14" t="n">
        <f aca="false">IFERROR(E11/D11,0)</f>
        <v>0.008</v>
      </c>
    </row>
    <row r="12" customFormat="false" ht="15" hidden="false" customHeight="false" outlineLevel="0" collapsed="false">
      <c r="A12" s="13" t="s">
        <v>60</v>
      </c>
      <c r="B12" s="7" t="n">
        <v>5086</v>
      </c>
      <c r="C12" s="7" t="n">
        <v>5036</v>
      </c>
      <c r="D12" s="7" t="n">
        <v>682</v>
      </c>
      <c r="E12" s="7" t="n">
        <v>31</v>
      </c>
      <c r="F12" s="14" t="n">
        <f aca="false">IFERROR(C12/B12,0)</f>
        <v>0.990169091624066</v>
      </c>
      <c r="G12" s="14" t="n">
        <f aca="false">IFERROR(D12/C12,0)</f>
        <v>0.135424940428912</v>
      </c>
      <c r="H12" s="14" t="n">
        <f aca="false">IFERROR(E12/C12,0)</f>
        <v>0.00615567911040508</v>
      </c>
      <c r="I12" s="14" t="n">
        <f aca="false">IFERROR(E12/D12,0)</f>
        <v>0.0454545454545455</v>
      </c>
    </row>
    <row r="13" customFormat="false" ht="15" hidden="false" customHeight="false" outlineLevel="0" collapsed="false">
      <c r="A13" s="13" t="s">
        <v>41</v>
      </c>
      <c r="B13" s="7" t="n">
        <v>0</v>
      </c>
      <c r="C13" s="7" t="n">
        <v>0</v>
      </c>
      <c r="D13" s="7" t="n">
        <v>0</v>
      </c>
      <c r="E13" s="7" t="n">
        <v>0</v>
      </c>
      <c r="F13" s="14" t="n">
        <f aca="false">IFERROR(C13/B13,0)</f>
        <v>0</v>
      </c>
      <c r="G13" s="14" t="n">
        <f aca="false">IFERROR(D13/C13,0)</f>
        <v>0</v>
      </c>
      <c r="H13" s="14" t="n">
        <f aca="false">IFERROR(E13/C13,0)</f>
        <v>0</v>
      </c>
      <c r="I13" s="14" t="n">
        <f aca="false">IFERROR(E13/D13,0)</f>
        <v>0</v>
      </c>
    </row>
    <row r="14" customFormat="false" ht="15" hidden="false" customHeight="false" outlineLevel="0" collapsed="false">
      <c r="A14" s="13" t="s">
        <v>33</v>
      </c>
      <c r="B14" s="7" t="n">
        <v>8210</v>
      </c>
      <c r="C14" s="7" t="n">
        <v>8152</v>
      </c>
      <c r="D14" s="7" t="n">
        <v>990</v>
      </c>
      <c r="E14" s="7" t="n">
        <v>35</v>
      </c>
      <c r="F14" s="14" t="n">
        <f aca="false">IFERROR(C14/B14,0)</f>
        <v>0.992935444579781</v>
      </c>
      <c r="G14" s="14" t="n">
        <f aca="false">IFERROR(D14/C14,0)</f>
        <v>0.12144259077527</v>
      </c>
      <c r="H14" s="14" t="n">
        <f aca="false">IFERROR(E14/C14,0)</f>
        <v>0.00429342492639843</v>
      </c>
      <c r="I14" s="14" t="n">
        <f aca="false">IFERROR(E14/D14,0)</f>
        <v>0.0353535353535354</v>
      </c>
    </row>
    <row r="15" customFormat="false" ht="15" hidden="false" customHeight="false" outlineLevel="0" collapsed="false">
      <c r="A15" s="13" t="s">
        <v>48</v>
      </c>
      <c r="B15" s="7" t="n">
        <v>2884</v>
      </c>
      <c r="C15" s="7" t="n">
        <v>2861</v>
      </c>
      <c r="D15" s="7" t="n">
        <v>232</v>
      </c>
      <c r="E15" s="7" t="n">
        <v>11</v>
      </c>
      <c r="F15" s="14" t="n">
        <f aca="false">IFERROR(C15/B15,0)</f>
        <v>0.992024965325936</v>
      </c>
      <c r="G15" s="14" t="n">
        <f aca="false">IFERROR(D15/C15,0)</f>
        <v>0.0810905277874869</v>
      </c>
      <c r="H15" s="14" t="n">
        <f aca="false">IFERROR(E15/C15,0)</f>
        <v>0.00384480950716533</v>
      </c>
      <c r="I15" s="14" t="n">
        <f aca="false">IFERROR(E15/D15,0)</f>
        <v>0.0474137931034483</v>
      </c>
    </row>
    <row r="16" customFormat="false" ht="15" hidden="false" customHeight="false" outlineLevel="0" collapsed="false">
      <c r="A16" s="15" t="s">
        <v>120</v>
      </c>
      <c r="B16" s="16" t="n">
        <f aca="false">SUM(B11:B15)</f>
        <v>17579</v>
      </c>
      <c r="C16" s="16" t="n">
        <f aca="false">SUM(C11:C15)</f>
        <v>17432</v>
      </c>
      <c r="D16" s="16" t="n">
        <f aca="false">SUM(D11:D15)</f>
        <v>2029</v>
      </c>
      <c r="E16" s="16" t="n">
        <f aca="false">SUM(E11:E15)</f>
        <v>78</v>
      </c>
      <c r="F16" s="17" t="n">
        <f aca="false">IFERROR(C16/B16,0)</f>
        <v>0.991637749587576</v>
      </c>
      <c r="G16" s="17" t="n">
        <f aca="false">IFERROR(D16/C16,0)</f>
        <v>0.116395135383203</v>
      </c>
      <c r="H16" s="17" t="n">
        <f aca="false">IFERROR(E16/C16,0)</f>
        <v>0.00447452960073428</v>
      </c>
      <c r="I16" s="17" t="n">
        <f aca="false">IFERROR(E16/D16,0)</f>
        <v>0.0384425825529818</v>
      </c>
    </row>
    <row r="19" customFormat="false" ht="15" hidden="false" customHeight="false" outlineLevel="0" collapsed="false">
      <c r="A19" s="3" t="s">
        <v>398</v>
      </c>
    </row>
    <row r="20" customFormat="false" ht="15" hidden="false" customHeight="false" outlineLevel="0" collapsed="false">
      <c r="A20" s="2" t="s">
        <v>399</v>
      </c>
    </row>
    <row r="22" customFormat="false" ht="15" hidden="false" customHeight="false" outlineLevel="0" collapsed="false">
      <c r="A22" s="11" t="s">
        <v>131</v>
      </c>
      <c r="B22" s="12"/>
      <c r="C22" s="12"/>
      <c r="D22" s="12"/>
      <c r="E22" s="12"/>
      <c r="F22" s="12"/>
    </row>
    <row r="23" customFormat="false" ht="27.75" hidden="false" customHeight="true" outlineLevel="0" collapsed="false">
      <c r="A23" s="5" t="s">
        <v>110</v>
      </c>
      <c r="B23" s="5" t="s">
        <v>111</v>
      </c>
      <c r="C23" s="5" t="s">
        <v>112</v>
      </c>
      <c r="D23" s="5" t="s">
        <v>132</v>
      </c>
      <c r="E23" s="5" t="s">
        <v>115</v>
      </c>
      <c r="F23" s="5" t="s">
        <v>133</v>
      </c>
    </row>
    <row r="24" customFormat="false" ht="15" hidden="false" customHeight="false" outlineLevel="0" collapsed="false">
      <c r="A24" s="13" t="s">
        <v>33</v>
      </c>
      <c r="B24" s="7" t="n">
        <v>63966</v>
      </c>
      <c r="C24" s="7" t="n">
        <v>48557</v>
      </c>
      <c r="D24" s="7" t="n">
        <v>33747</v>
      </c>
      <c r="E24" s="14" t="n">
        <f aca="false">IFERROR(C24/B24,0)</f>
        <v>0.759106400275146</v>
      </c>
      <c r="F24" s="14" t="n">
        <f aca="false">IFERROR(D24/C24,0)</f>
        <v>0.694997631649402</v>
      </c>
    </row>
    <row r="25" customFormat="false" ht="15" hidden="false" customHeight="false" outlineLevel="0" collapsed="false">
      <c r="A25" s="13" t="s">
        <v>48</v>
      </c>
      <c r="B25" s="7" t="n">
        <v>0</v>
      </c>
      <c r="C25" s="7" t="n">
        <v>5</v>
      </c>
      <c r="D25" s="7" t="n">
        <v>392</v>
      </c>
      <c r="E25" s="14" t="n">
        <f aca="false">IFERROR(C25/B25,0)</f>
        <v>0</v>
      </c>
      <c r="F25" s="14" t="n">
        <f aca="false">IFERROR(D25/C25,0)</f>
        <v>78.4</v>
      </c>
    </row>
    <row r="26" customFormat="false" ht="15" hidden="false" customHeight="false" outlineLevel="0" collapsed="false">
      <c r="A26" s="15" t="s">
        <v>120</v>
      </c>
      <c r="B26" s="16" t="n">
        <f aca="false">SUM(B24:B25)</f>
        <v>63966</v>
      </c>
      <c r="C26" s="16" t="n">
        <f aca="false">SUM(C24:C25)</f>
        <v>48562</v>
      </c>
      <c r="D26" s="16" t="n">
        <f aca="false">SUM(D24:D25)</f>
        <v>34139</v>
      </c>
      <c r="E26" s="17" t="n">
        <f aca="false">IFERROR(C26/B26,0)</f>
        <v>0.759184566801113</v>
      </c>
      <c r="F26" s="17" t="n">
        <f aca="false">IFERROR(D26/C26,0)</f>
        <v>0.702998229067996</v>
      </c>
    </row>
    <row r="28" customFormat="false" ht="15" hidden="false" customHeight="false" outlineLevel="0" collapsed="false">
      <c r="A28" s="11" t="s">
        <v>253</v>
      </c>
      <c r="B28" s="12"/>
      <c r="C28" s="12"/>
      <c r="D28" s="12"/>
      <c r="E28" s="12"/>
      <c r="F28" s="12"/>
    </row>
    <row r="29" customFormat="false" ht="27.75" hidden="false" customHeight="true" outlineLevel="0" collapsed="false">
      <c r="A29" s="5" t="s">
        <v>110</v>
      </c>
      <c r="B29" s="5" t="s">
        <v>111</v>
      </c>
      <c r="C29" s="5" t="s">
        <v>112</v>
      </c>
      <c r="D29" s="5" t="s">
        <v>254</v>
      </c>
      <c r="E29" s="5" t="s">
        <v>115</v>
      </c>
      <c r="F29" s="5" t="s">
        <v>126</v>
      </c>
    </row>
    <row r="30" customFormat="false" ht="15" hidden="false" customHeight="false" outlineLevel="0" collapsed="false">
      <c r="A30" s="13" t="s">
        <v>33</v>
      </c>
      <c r="B30" s="7" t="n">
        <v>60302</v>
      </c>
      <c r="C30" s="7" t="n">
        <v>57340</v>
      </c>
      <c r="D30" s="7" t="n">
        <v>3728</v>
      </c>
      <c r="E30" s="14" t="n">
        <f aca="false">IFERROR(C30/B30,0)</f>
        <v>0.950880567808696</v>
      </c>
      <c r="F30" s="14" t="n">
        <f aca="false">IFERROR(D30/B30,0)</f>
        <v>0.0618221617856788</v>
      </c>
    </row>
    <row r="31" customFormat="false" ht="15" hidden="false" customHeight="false" outlineLevel="0" collapsed="false">
      <c r="A31" s="15" t="s">
        <v>120</v>
      </c>
      <c r="B31" s="16" t="n">
        <f aca="false">SUM(B30:B30)</f>
        <v>60302</v>
      </c>
      <c r="C31" s="16" t="n">
        <f aca="false">SUM(C30:C30)</f>
        <v>57340</v>
      </c>
      <c r="D31" s="16" t="n">
        <f aca="false">SUM(D30:D30)</f>
        <v>3728</v>
      </c>
      <c r="E31" s="17" t="n">
        <f aca="false">IFERROR(C31/B31,0)</f>
        <v>0.950880567808696</v>
      </c>
      <c r="F31" s="17" t="n">
        <f aca="false">IFERROR(D31/B31,0)</f>
        <v>0.0618221617856788</v>
      </c>
    </row>
    <row r="34" customFormat="false" ht="15" hidden="false" customHeight="false" outlineLevel="0" collapsed="false">
      <c r="A34" s="3" t="s">
        <v>400</v>
      </c>
    </row>
    <row r="35" customFormat="false" ht="15" hidden="false" customHeight="false" outlineLevel="0" collapsed="false">
      <c r="A35" s="2" t="s">
        <v>401</v>
      </c>
    </row>
    <row r="36" customFormat="false" ht="15" hidden="false" customHeight="false" outlineLevel="0" collapsed="false">
      <c r="A36" s="20" t="s">
        <v>402</v>
      </c>
    </row>
    <row r="38" customFormat="false" ht="15" hidden="false" customHeight="false" outlineLevel="0" collapsed="false">
      <c r="A38" s="11" t="s">
        <v>131</v>
      </c>
      <c r="B38" s="12"/>
      <c r="C38" s="12"/>
      <c r="D38" s="12"/>
      <c r="E38" s="12"/>
      <c r="F38" s="12"/>
    </row>
    <row r="39" customFormat="false" ht="27.75" hidden="false" customHeight="true" outlineLevel="0" collapsed="false">
      <c r="A39" s="5" t="s">
        <v>110</v>
      </c>
      <c r="B39" s="5" t="s">
        <v>111</v>
      </c>
      <c r="C39" s="5" t="s">
        <v>112</v>
      </c>
      <c r="D39" s="5" t="s">
        <v>132</v>
      </c>
      <c r="E39" s="5" t="s">
        <v>115</v>
      </c>
      <c r="F39" s="5" t="s">
        <v>133</v>
      </c>
    </row>
    <row r="40" customFormat="false" ht="15" hidden="false" customHeight="false" outlineLevel="0" collapsed="false">
      <c r="A40" s="13" t="s">
        <v>51</v>
      </c>
      <c r="B40" s="7" t="n">
        <v>1011</v>
      </c>
      <c r="C40" s="7" t="n">
        <v>902</v>
      </c>
      <c r="D40" s="7" t="n">
        <v>638</v>
      </c>
      <c r="E40" s="14" t="n">
        <f aca="false">IFERROR(C40/B40,0)</f>
        <v>0.892185954500495</v>
      </c>
      <c r="F40" s="14" t="n">
        <f aca="false">IFERROR(D40/C40,0)</f>
        <v>0.707317073170732</v>
      </c>
    </row>
    <row r="41" customFormat="false" ht="15" hidden="false" customHeight="false" outlineLevel="0" collapsed="false">
      <c r="A41" s="13" t="s">
        <v>38</v>
      </c>
      <c r="B41" s="7" t="n">
        <v>0</v>
      </c>
      <c r="C41" s="7" t="n">
        <v>1</v>
      </c>
      <c r="D41" s="7" t="n">
        <v>7</v>
      </c>
      <c r="E41" s="14" t="n">
        <f aca="false">IFERROR(C41/B41,0)</f>
        <v>0</v>
      </c>
      <c r="F41" s="14" t="n">
        <f aca="false">IFERROR(D41/C41,0)</f>
        <v>7</v>
      </c>
    </row>
    <row r="42" customFormat="false" ht="15" hidden="false" customHeight="false" outlineLevel="0" collapsed="false">
      <c r="A42" s="15" t="s">
        <v>120</v>
      </c>
      <c r="B42" s="16" t="n">
        <f aca="false">SUM(B40:B41)</f>
        <v>1011</v>
      </c>
      <c r="C42" s="16" t="n">
        <f aca="false">SUM(C40:C41)</f>
        <v>903</v>
      </c>
      <c r="D42" s="16" t="n">
        <f aca="false">SUM(D40:D41)</f>
        <v>645</v>
      </c>
      <c r="E42" s="17" t="n">
        <f aca="false">IFERROR(C42/B42,0)</f>
        <v>0.893175074183976</v>
      </c>
      <c r="F42" s="17" t="n">
        <f aca="false">IFERROR(D42/C42,0)</f>
        <v>0.714285714285714</v>
      </c>
    </row>
    <row r="44" customFormat="false" ht="15" hidden="false" customHeight="false" outlineLevel="0" collapsed="false">
      <c r="A44" s="11" t="s">
        <v>253</v>
      </c>
      <c r="B44" s="12"/>
      <c r="C44" s="12"/>
      <c r="D44" s="12"/>
      <c r="E44" s="12"/>
      <c r="F44" s="12"/>
    </row>
    <row r="45" customFormat="false" ht="27.75" hidden="false" customHeight="true" outlineLevel="0" collapsed="false">
      <c r="A45" s="5" t="s">
        <v>110</v>
      </c>
      <c r="B45" s="5" t="s">
        <v>111</v>
      </c>
      <c r="C45" s="5" t="s">
        <v>112</v>
      </c>
      <c r="D45" s="5" t="s">
        <v>254</v>
      </c>
      <c r="E45" s="5" t="s">
        <v>115</v>
      </c>
      <c r="F45" s="5" t="s">
        <v>126</v>
      </c>
    </row>
    <row r="46" customFormat="false" ht="15" hidden="false" customHeight="false" outlineLevel="0" collapsed="false">
      <c r="A46" s="13" t="s">
        <v>51</v>
      </c>
      <c r="B46" s="7" t="n">
        <v>611</v>
      </c>
      <c r="C46" s="7" t="n">
        <v>593</v>
      </c>
      <c r="D46" s="7" t="n">
        <v>18</v>
      </c>
      <c r="E46" s="14" t="n">
        <f aca="false">IFERROR(C46/B46,0)</f>
        <v>0.970540098199673</v>
      </c>
      <c r="F46" s="14" t="n">
        <f aca="false">IFERROR(D46/B46,0)</f>
        <v>0.0294599018003273</v>
      </c>
    </row>
    <row r="47" customFormat="false" ht="15" hidden="false" customHeight="false" outlineLevel="0" collapsed="false">
      <c r="A47" s="15" t="s">
        <v>120</v>
      </c>
      <c r="B47" s="16" t="n">
        <f aca="false">SUM(B46:B46)</f>
        <v>611</v>
      </c>
      <c r="C47" s="16" t="n">
        <f aca="false">SUM(C46:C46)</f>
        <v>593</v>
      </c>
      <c r="D47" s="16" t="n">
        <f aca="false">SUM(D46:D46)</f>
        <v>18</v>
      </c>
      <c r="E47" s="17" t="n">
        <f aca="false">IFERROR(C47/B47,0)</f>
        <v>0.970540098199673</v>
      </c>
      <c r="F47" s="17" t="n">
        <f aca="false">IFERROR(D47/B47,0)</f>
        <v>0.0294599018003273</v>
      </c>
    </row>
    <row r="50" customFormat="false" ht="15" hidden="false" customHeight="false" outlineLevel="0" collapsed="false">
      <c r="A50" s="3" t="s">
        <v>403</v>
      </c>
    </row>
    <row r="51" customFormat="false" ht="15" hidden="false" customHeight="false" outlineLevel="0" collapsed="false">
      <c r="A51" s="2" t="s">
        <v>404</v>
      </c>
    </row>
    <row r="52" customFormat="false" ht="15" hidden="false" customHeight="false" outlineLevel="0" collapsed="false">
      <c r="A52" s="20" t="s">
        <v>402</v>
      </c>
    </row>
    <row r="54" customFormat="false" ht="15" hidden="false" customHeight="false" outlineLevel="0" collapsed="false">
      <c r="A54" s="11" t="s">
        <v>131</v>
      </c>
      <c r="B54" s="12"/>
      <c r="C54" s="12"/>
      <c r="D54" s="12"/>
      <c r="E54" s="12"/>
      <c r="F54" s="12"/>
    </row>
    <row r="55" customFormat="false" ht="27.75" hidden="false" customHeight="true" outlineLevel="0" collapsed="false">
      <c r="A55" s="5" t="s">
        <v>110</v>
      </c>
      <c r="B55" s="5" t="s">
        <v>111</v>
      </c>
      <c r="C55" s="5" t="s">
        <v>112</v>
      </c>
      <c r="D55" s="5" t="s">
        <v>132</v>
      </c>
      <c r="E55" s="5" t="s">
        <v>115</v>
      </c>
      <c r="F55" s="5" t="s">
        <v>133</v>
      </c>
    </row>
    <row r="56" customFormat="false" ht="15" hidden="false" customHeight="false" outlineLevel="0" collapsed="false">
      <c r="A56" s="13" t="s">
        <v>51</v>
      </c>
      <c r="B56" s="7" t="n">
        <v>730</v>
      </c>
      <c r="C56" s="7" t="n">
        <v>635</v>
      </c>
      <c r="D56" s="7" t="n">
        <v>514</v>
      </c>
      <c r="E56" s="14" t="n">
        <f aca="false">IFERROR(C56/B56,0)</f>
        <v>0.86986301369863</v>
      </c>
      <c r="F56" s="14" t="n">
        <f aca="false">IFERROR(D56/C56,0)</f>
        <v>0.809448818897638</v>
      </c>
    </row>
    <row r="57" customFormat="false" ht="15" hidden="false" customHeight="false" outlineLevel="0" collapsed="false">
      <c r="A57" s="13" t="s">
        <v>38</v>
      </c>
      <c r="B57" s="7" t="n">
        <v>0</v>
      </c>
      <c r="C57" s="7" t="n">
        <v>0</v>
      </c>
      <c r="D57" s="7" t="n">
        <v>4</v>
      </c>
      <c r="E57" s="14" t="n">
        <f aca="false">IFERROR(C57/B57,0)</f>
        <v>0</v>
      </c>
      <c r="F57" s="14" t="n">
        <f aca="false">IFERROR(D57/C57,0)</f>
        <v>0</v>
      </c>
    </row>
    <row r="58" customFormat="false" ht="15" hidden="false" customHeight="false" outlineLevel="0" collapsed="false">
      <c r="A58" s="15" t="s">
        <v>120</v>
      </c>
      <c r="B58" s="16" t="n">
        <f aca="false">SUM(B56:B57)</f>
        <v>730</v>
      </c>
      <c r="C58" s="16" t="n">
        <f aca="false">SUM(C56:C57)</f>
        <v>635</v>
      </c>
      <c r="D58" s="16" t="n">
        <f aca="false">SUM(D56:D57)</f>
        <v>518</v>
      </c>
      <c r="E58" s="17" t="n">
        <f aca="false">IFERROR(C58/B58,0)</f>
        <v>0.86986301369863</v>
      </c>
      <c r="F58" s="17" t="n">
        <f aca="false">IFERROR(D58/C58,0)</f>
        <v>0.815748031496063</v>
      </c>
    </row>
    <row r="60" customFormat="false" ht="15" hidden="false" customHeight="false" outlineLevel="0" collapsed="false">
      <c r="A60" s="11" t="s">
        <v>253</v>
      </c>
      <c r="B60" s="12"/>
      <c r="C60" s="12"/>
      <c r="D60" s="12"/>
      <c r="E60" s="12"/>
      <c r="F60" s="12"/>
    </row>
    <row r="61" customFormat="false" ht="27.75" hidden="false" customHeight="true" outlineLevel="0" collapsed="false">
      <c r="A61" s="5" t="s">
        <v>110</v>
      </c>
      <c r="B61" s="5" t="s">
        <v>111</v>
      </c>
      <c r="C61" s="5" t="s">
        <v>112</v>
      </c>
      <c r="D61" s="5" t="s">
        <v>254</v>
      </c>
      <c r="E61" s="5" t="s">
        <v>115</v>
      </c>
      <c r="F61" s="5" t="s">
        <v>126</v>
      </c>
    </row>
    <row r="62" customFormat="false" ht="15" hidden="false" customHeight="false" outlineLevel="0" collapsed="false">
      <c r="A62" s="13" t="s">
        <v>51</v>
      </c>
      <c r="B62" s="7" t="n">
        <v>446</v>
      </c>
      <c r="C62" s="7" t="n">
        <v>432</v>
      </c>
      <c r="D62" s="7" t="n">
        <v>14</v>
      </c>
      <c r="E62" s="14" t="n">
        <f aca="false">IFERROR(C62/B62,0)</f>
        <v>0.968609865470852</v>
      </c>
      <c r="F62" s="14" t="n">
        <f aca="false">IFERROR(D62/B62,0)</f>
        <v>0.031390134529148</v>
      </c>
    </row>
    <row r="63" customFormat="false" ht="15" hidden="false" customHeight="false" outlineLevel="0" collapsed="false">
      <c r="A63" s="15" t="s">
        <v>120</v>
      </c>
      <c r="B63" s="16" t="n">
        <f aca="false">SUM(B62:B62)</f>
        <v>446</v>
      </c>
      <c r="C63" s="16" t="n">
        <f aca="false">SUM(C62:C62)</f>
        <v>432</v>
      </c>
      <c r="D63" s="16" t="n">
        <f aca="false">SUM(D62:D62)</f>
        <v>14</v>
      </c>
      <c r="E63" s="17" t="n">
        <f aca="false">IFERROR(C63/B63,0)</f>
        <v>0.968609865470852</v>
      </c>
      <c r="F63" s="17" t="n">
        <f aca="false">IFERROR(D63/B63,0)</f>
        <v>0.031390134529148</v>
      </c>
    </row>
    <row r="66" customFormat="false" ht="15" hidden="false" customHeight="false" outlineLevel="0" collapsed="false">
      <c r="A66" s="3" t="s">
        <v>405</v>
      </c>
    </row>
    <row r="67" customFormat="false" ht="15" hidden="false" customHeight="false" outlineLevel="0" collapsed="false">
      <c r="A67" s="2" t="s">
        <v>406</v>
      </c>
    </row>
    <row r="68" customFormat="false" ht="15" hidden="false" customHeight="false" outlineLevel="0" collapsed="false">
      <c r="A68" s="20" t="s">
        <v>402</v>
      </c>
    </row>
    <row r="70" customFormat="false" ht="15" hidden="false" customHeight="false" outlineLevel="0" collapsed="false">
      <c r="A70" s="11" t="s">
        <v>131</v>
      </c>
      <c r="B70" s="12"/>
      <c r="C70" s="12"/>
      <c r="D70" s="12"/>
      <c r="E70" s="12"/>
      <c r="F70" s="12"/>
    </row>
    <row r="71" customFormat="false" ht="27.75" hidden="false" customHeight="true" outlineLevel="0" collapsed="false">
      <c r="A71" s="5" t="s">
        <v>110</v>
      </c>
      <c r="B71" s="5" t="s">
        <v>111</v>
      </c>
      <c r="C71" s="5" t="s">
        <v>112</v>
      </c>
      <c r="D71" s="5" t="s">
        <v>132</v>
      </c>
      <c r="E71" s="5" t="s">
        <v>115</v>
      </c>
      <c r="F71" s="5" t="s">
        <v>133</v>
      </c>
    </row>
    <row r="72" customFormat="false" ht="15" hidden="false" customHeight="false" outlineLevel="0" collapsed="false">
      <c r="A72" s="13" t="s">
        <v>51</v>
      </c>
      <c r="B72" s="7" t="n">
        <v>199</v>
      </c>
      <c r="C72" s="7" t="n">
        <v>166</v>
      </c>
      <c r="D72" s="7" t="n">
        <v>112</v>
      </c>
      <c r="E72" s="14" t="n">
        <f aca="false">IFERROR(C72/B72,0)</f>
        <v>0.834170854271357</v>
      </c>
      <c r="F72" s="14" t="n">
        <f aca="false">IFERROR(D72/C72,0)</f>
        <v>0.674698795180723</v>
      </c>
    </row>
    <row r="73" customFormat="false" ht="15" hidden="false" customHeight="false" outlineLevel="0" collapsed="false">
      <c r="A73" s="15" t="s">
        <v>120</v>
      </c>
      <c r="B73" s="16" t="n">
        <f aca="false">SUM(B72:B72)</f>
        <v>199</v>
      </c>
      <c r="C73" s="16" t="n">
        <f aca="false">SUM(C72:C72)</f>
        <v>166</v>
      </c>
      <c r="D73" s="16" t="n">
        <f aca="false">SUM(D72:D72)</f>
        <v>112</v>
      </c>
      <c r="E73" s="17" t="n">
        <f aca="false">IFERROR(C73/B73,0)</f>
        <v>0.834170854271357</v>
      </c>
      <c r="F73" s="17" t="n">
        <f aca="false">IFERROR(D73/C73,0)</f>
        <v>0.674698795180723</v>
      </c>
    </row>
    <row r="75" customFormat="false" ht="15" hidden="false" customHeight="false" outlineLevel="0" collapsed="false">
      <c r="A75" s="11" t="s">
        <v>253</v>
      </c>
      <c r="B75" s="12"/>
      <c r="C75" s="12"/>
      <c r="D75" s="12"/>
      <c r="E75" s="12"/>
      <c r="F75" s="12"/>
    </row>
    <row r="76" customFormat="false" ht="27.75" hidden="false" customHeight="true" outlineLevel="0" collapsed="false">
      <c r="A76" s="5" t="s">
        <v>110</v>
      </c>
      <c r="B76" s="5" t="s">
        <v>111</v>
      </c>
      <c r="C76" s="5" t="s">
        <v>112</v>
      </c>
      <c r="D76" s="5" t="s">
        <v>254</v>
      </c>
      <c r="E76" s="5" t="s">
        <v>115</v>
      </c>
      <c r="F76" s="5" t="s">
        <v>126</v>
      </c>
    </row>
    <row r="77" customFormat="false" ht="15" hidden="false" customHeight="false" outlineLevel="0" collapsed="false">
      <c r="A77" s="13" t="s">
        <v>51</v>
      </c>
      <c r="B77" s="7" t="n">
        <v>84</v>
      </c>
      <c r="C77" s="7" t="n">
        <v>78</v>
      </c>
      <c r="D77" s="7" t="n">
        <v>6</v>
      </c>
      <c r="E77" s="14" t="n">
        <f aca="false">IFERROR(C77/B77,0)</f>
        <v>0.928571428571429</v>
      </c>
      <c r="F77" s="14" t="n">
        <f aca="false">IFERROR(D77/B77,0)</f>
        <v>0.0714285714285714</v>
      </c>
    </row>
    <row r="78" customFormat="false" ht="15" hidden="false" customHeight="false" outlineLevel="0" collapsed="false">
      <c r="A78" s="15" t="s">
        <v>120</v>
      </c>
      <c r="B78" s="16" t="n">
        <f aca="false">SUM(B77:B77)</f>
        <v>84</v>
      </c>
      <c r="C78" s="16" t="n">
        <f aca="false">SUM(C77:C77)</f>
        <v>78</v>
      </c>
      <c r="D78" s="16" t="n">
        <f aca="false">SUM(D77:D77)</f>
        <v>6</v>
      </c>
      <c r="E78" s="17" t="n">
        <f aca="false">IFERROR(C78/B78,0)</f>
        <v>0.928571428571429</v>
      </c>
      <c r="F78" s="17" t="n">
        <f aca="false">IFERROR(D78/B78,0)</f>
        <v>0.0714285714285714</v>
      </c>
    </row>
    <row r="81" customFormat="false" ht="15" hidden="false" customHeight="false" outlineLevel="0" collapsed="false">
      <c r="A81" s="18" t="s">
        <v>128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3" customFormat="false" ht="15" hidden="false" customHeight="false" outlineLevel="0" collapsed="false">
      <c r="A83" s="3" t="s">
        <v>407</v>
      </c>
    </row>
    <row r="84" customFormat="false" ht="15" hidden="false" customHeight="false" outlineLevel="0" collapsed="false">
      <c r="A84" s="2" t="s">
        <v>408</v>
      </c>
    </row>
    <row r="86" customFormat="false" ht="15" hidden="false" customHeight="false" outlineLevel="0" collapsed="false">
      <c r="A86" s="11" t="s">
        <v>109</v>
      </c>
      <c r="B86" s="12"/>
      <c r="C86" s="12"/>
      <c r="D86" s="12"/>
      <c r="E86" s="12"/>
      <c r="F86" s="12"/>
      <c r="G86" s="12"/>
      <c r="H86" s="12"/>
      <c r="I86" s="12"/>
    </row>
    <row r="87" customFormat="false" ht="27.75" hidden="false" customHeight="true" outlineLevel="0" collapsed="false">
      <c r="A87" s="5" t="s">
        <v>110</v>
      </c>
      <c r="B87" s="5" t="s">
        <v>111</v>
      </c>
      <c r="C87" s="5" t="s">
        <v>112</v>
      </c>
      <c r="D87" s="5" t="s">
        <v>113</v>
      </c>
      <c r="E87" s="5" t="s">
        <v>114</v>
      </c>
      <c r="F87" s="5" t="s">
        <v>115</v>
      </c>
      <c r="G87" s="5" t="s">
        <v>116</v>
      </c>
      <c r="H87" s="5" t="s">
        <v>117</v>
      </c>
      <c r="I87" s="5" t="s">
        <v>118</v>
      </c>
    </row>
    <row r="88" customFormat="false" ht="15" hidden="false" customHeight="false" outlineLevel="0" collapsed="false">
      <c r="A88" s="13" t="s">
        <v>48</v>
      </c>
      <c r="B88" s="7" t="n">
        <v>591</v>
      </c>
      <c r="C88" s="7" t="n">
        <v>564</v>
      </c>
      <c r="D88" s="7" t="n">
        <v>128</v>
      </c>
      <c r="E88" s="7" t="n">
        <v>3</v>
      </c>
      <c r="F88" s="14" t="n">
        <f aca="false">IFERROR(C88/B88,0)</f>
        <v>0.954314720812183</v>
      </c>
      <c r="G88" s="14" t="n">
        <f aca="false">IFERROR(D88/C88,0)</f>
        <v>0.226950354609929</v>
      </c>
      <c r="H88" s="14" t="n">
        <f aca="false">IFERROR(E88/C88,0)</f>
        <v>0.00531914893617021</v>
      </c>
      <c r="I88" s="14" t="n">
        <f aca="false">IFERROR(E88/D88,0)</f>
        <v>0.0234375</v>
      </c>
    </row>
    <row r="89" customFormat="false" ht="15" hidden="false" customHeight="false" outlineLevel="0" collapsed="false">
      <c r="A89" s="13" t="s">
        <v>31</v>
      </c>
      <c r="B89" s="7" t="n">
        <v>595</v>
      </c>
      <c r="C89" s="7" t="n">
        <v>568</v>
      </c>
      <c r="D89" s="7" t="n">
        <v>128</v>
      </c>
      <c r="E89" s="7" t="n">
        <v>3</v>
      </c>
      <c r="F89" s="14" t="n">
        <f aca="false">IFERROR(C89/B89,0)</f>
        <v>0.954621848739496</v>
      </c>
      <c r="G89" s="14" t="n">
        <f aca="false">IFERROR(D89/C89,0)</f>
        <v>0.225352112676056</v>
      </c>
      <c r="H89" s="14" t="n">
        <f aca="false">IFERROR(E89/C89,0)</f>
        <v>0.00528169014084507</v>
      </c>
      <c r="I89" s="14" t="n">
        <f aca="false">IFERROR(E89/D89,0)</f>
        <v>0.0234375</v>
      </c>
    </row>
    <row r="90" customFormat="false" ht="15" hidden="false" customHeight="false" outlineLevel="0" collapsed="false">
      <c r="A90" s="15" t="s">
        <v>120</v>
      </c>
      <c r="B90" s="16" t="n">
        <f aca="false">SUM(B88:B89)</f>
        <v>1186</v>
      </c>
      <c r="C90" s="16" t="n">
        <f aca="false">SUM(C88:C89)</f>
        <v>1132</v>
      </c>
      <c r="D90" s="16" t="n">
        <f aca="false">SUM(D88:D89)</f>
        <v>256</v>
      </c>
      <c r="E90" s="16" t="n">
        <f aca="false">SUM(E88:E89)</f>
        <v>6</v>
      </c>
      <c r="F90" s="17" t="n">
        <f aca="false">IFERROR(C90/B90,0)</f>
        <v>0.954468802698145</v>
      </c>
      <c r="G90" s="17" t="n">
        <f aca="false">IFERROR(D90/C90,0)</f>
        <v>0.226148409893993</v>
      </c>
      <c r="H90" s="17" t="n">
        <f aca="false">IFERROR(E90/C90,0)</f>
        <v>0.00530035335689046</v>
      </c>
      <c r="I90" s="17" t="n">
        <f aca="false">IFERROR(E90/D90,0)</f>
        <v>0.0234375</v>
      </c>
    </row>
    <row r="93" customFormat="false" ht="15" hidden="false" customHeight="false" outlineLevel="0" collapsed="false">
      <c r="A93" s="3" t="s">
        <v>409</v>
      </c>
    </row>
    <row r="94" customFormat="false" ht="15" hidden="false" customHeight="false" outlineLevel="0" collapsed="false">
      <c r="A94" s="2" t="s">
        <v>410</v>
      </c>
    </row>
    <row r="95" customFormat="false" ht="15" hidden="false" customHeight="false" outlineLevel="0" collapsed="false">
      <c r="A95" s="20" t="s">
        <v>411</v>
      </c>
    </row>
    <row r="97" customFormat="false" ht="15" hidden="false" customHeight="false" outlineLevel="0" collapsed="false">
      <c r="A97" s="11" t="s">
        <v>109</v>
      </c>
      <c r="B97" s="12"/>
      <c r="C97" s="12"/>
      <c r="D97" s="12"/>
      <c r="E97" s="12"/>
      <c r="F97" s="12"/>
      <c r="G97" s="12"/>
      <c r="H97" s="12"/>
      <c r="I97" s="12"/>
    </row>
    <row r="98" customFormat="false" ht="27.75" hidden="false" customHeight="true" outlineLevel="0" collapsed="false">
      <c r="A98" s="5" t="s">
        <v>110</v>
      </c>
      <c r="B98" s="5" t="s">
        <v>111</v>
      </c>
      <c r="C98" s="5" t="s">
        <v>112</v>
      </c>
      <c r="D98" s="5" t="s">
        <v>113</v>
      </c>
      <c r="E98" s="5" t="s">
        <v>114</v>
      </c>
      <c r="F98" s="5" t="s">
        <v>115</v>
      </c>
      <c r="G98" s="5" t="s">
        <v>116</v>
      </c>
      <c r="H98" s="5" t="s">
        <v>117</v>
      </c>
      <c r="I98" s="5" t="s">
        <v>118</v>
      </c>
    </row>
    <row r="99" customFormat="false" ht="15" hidden="false" customHeight="false" outlineLevel="0" collapsed="false">
      <c r="A99" s="13" t="s">
        <v>48</v>
      </c>
      <c r="B99" s="7" t="n">
        <v>16</v>
      </c>
      <c r="C99" s="7" t="n">
        <v>16</v>
      </c>
      <c r="D99" s="7" t="n">
        <v>16</v>
      </c>
      <c r="E99" s="7" t="n">
        <v>0</v>
      </c>
      <c r="F99" s="14" t="n">
        <f aca="false">IFERROR(C99/B99,0)</f>
        <v>1</v>
      </c>
      <c r="G99" s="14" t="n">
        <f aca="false">IFERROR(D99/C99,0)</f>
        <v>1</v>
      </c>
      <c r="H99" s="14" t="n">
        <f aca="false">IFERROR(E99/C99,0)</f>
        <v>0</v>
      </c>
      <c r="I99" s="14" t="n">
        <f aca="false">IFERROR(E99/D99,0)</f>
        <v>0</v>
      </c>
    </row>
    <row r="100" customFormat="false" ht="15" hidden="false" customHeight="false" outlineLevel="0" collapsed="false">
      <c r="A100" s="15" t="s">
        <v>120</v>
      </c>
      <c r="B100" s="16" t="n">
        <f aca="false">SUM(B99:B99)</f>
        <v>16</v>
      </c>
      <c r="C100" s="16" t="n">
        <f aca="false">SUM(C99:C99)</f>
        <v>16</v>
      </c>
      <c r="D100" s="16" t="n">
        <f aca="false">SUM(D99:D99)</f>
        <v>16</v>
      </c>
      <c r="E100" s="16" t="n">
        <f aca="false">SUM(E99:E99)</f>
        <v>0</v>
      </c>
      <c r="F100" s="17" t="n">
        <f aca="false">IFERROR(C100/B100,0)</f>
        <v>1</v>
      </c>
      <c r="G100" s="17" t="n">
        <f aca="false">IFERROR(D100/C100,0)</f>
        <v>1</v>
      </c>
      <c r="H100" s="17" t="n">
        <f aca="false">IFERROR(E100/C100,0)</f>
        <v>0</v>
      </c>
      <c r="I100" s="17" t="n">
        <f aca="false">IFERROR(E100/D100,0)</f>
        <v>0</v>
      </c>
    </row>
    <row r="103" customFormat="false" ht="15" hidden="false" customHeight="false" outlineLevel="0" collapsed="false">
      <c r="A103" s="21" t="s">
        <v>139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customFormat="false" ht="15" hidden="false" customHeight="false" outlineLevel="0" collapsed="false">
      <c r="A104" s="2" t="s">
        <v>140</v>
      </c>
    </row>
    <row r="106" customFormat="false" ht="15" hidden="false" customHeight="false" outlineLevel="0" collapsed="false">
      <c r="A106" s="11" t="s">
        <v>141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customFormat="false" ht="27.75" hidden="false" customHeight="true" outlineLevel="0" collapsed="false">
      <c r="A107" s="5" t="s">
        <v>142</v>
      </c>
      <c r="B107" s="5" t="s">
        <v>111</v>
      </c>
      <c r="C107" s="5" t="s">
        <v>112</v>
      </c>
      <c r="D107" s="5" t="s">
        <v>132</v>
      </c>
      <c r="E107" s="5" t="s">
        <v>115</v>
      </c>
      <c r="F107" s="5" t="s">
        <v>133</v>
      </c>
      <c r="G107" s="23"/>
      <c r="H107" s="23"/>
      <c r="I107" s="23"/>
      <c r="J107" s="5" t="s">
        <v>21</v>
      </c>
      <c r="K107" s="5" t="s">
        <v>22</v>
      </c>
      <c r="L107" s="5" t="s">
        <v>143</v>
      </c>
      <c r="M107" s="5" t="s">
        <v>144</v>
      </c>
    </row>
    <row r="108" customFormat="false" ht="15" hidden="false" customHeight="false" outlineLevel="0" collapsed="false">
      <c r="A108" s="13" t="s">
        <v>412</v>
      </c>
      <c r="B108" s="7" t="n">
        <v>31992</v>
      </c>
      <c r="C108" s="7" t="n">
        <v>24347</v>
      </c>
      <c r="D108" s="7" t="n">
        <v>17725</v>
      </c>
      <c r="E108" s="14" t="n">
        <f aca="false">IFERROR(C108/B108,0)</f>
        <v>0.761034008502126</v>
      </c>
      <c r="F108" s="14" t="n">
        <f aca="false">IFERROR(D108/C108,0)</f>
        <v>0.728015771963692</v>
      </c>
      <c r="J108" s="6" t="s">
        <v>413</v>
      </c>
      <c r="K108" s="6" t="s">
        <v>414</v>
      </c>
      <c r="L108" s="6" t="s">
        <v>66</v>
      </c>
      <c r="M108" s="6" t="s">
        <v>415</v>
      </c>
    </row>
    <row r="109" customFormat="false" ht="15" hidden="false" customHeight="false" outlineLevel="0" collapsed="false">
      <c r="A109" s="13" t="s">
        <v>416</v>
      </c>
      <c r="B109" s="7" t="n">
        <v>31974</v>
      </c>
      <c r="C109" s="7" t="n">
        <v>24215</v>
      </c>
      <c r="D109" s="7" t="n">
        <v>16414</v>
      </c>
      <c r="E109" s="14" t="n">
        <f aca="false">IFERROR(C109/B109,0)</f>
        <v>0.757334083943204</v>
      </c>
      <c r="F109" s="14" t="n">
        <f aca="false">IFERROR(D109/C109,0)</f>
        <v>0.677844311377246</v>
      </c>
      <c r="J109" s="6" t="s">
        <v>314</v>
      </c>
      <c r="K109" s="6" t="s">
        <v>414</v>
      </c>
      <c r="L109" s="6" t="s">
        <v>66</v>
      </c>
      <c r="M109" s="6" t="s">
        <v>417</v>
      </c>
    </row>
    <row r="110" customFormat="false" ht="15" hidden="false" customHeight="false" outlineLevel="0" collapsed="false">
      <c r="A110" s="13" t="s">
        <v>376</v>
      </c>
      <c r="B110" s="7" t="n">
        <v>1011</v>
      </c>
      <c r="C110" s="7" t="n">
        <v>903</v>
      </c>
      <c r="D110" s="7" t="n">
        <v>645</v>
      </c>
      <c r="E110" s="14" t="n">
        <f aca="false">IFERROR(C110/B110,0)</f>
        <v>0.893175074183976</v>
      </c>
      <c r="F110" s="14" t="n">
        <f aca="false">IFERROR(D110/C110,0)</f>
        <v>0.714285714285714</v>
      </c>
      <c r="J110" s="6" t="s">
        <v>418</v>
      </c>
      <c r="K110" s="6" t="s">
        <v>419</v>
      </c>
      <c r="L110" s="6" t="s">
        <v>68</v>
      </c>
      <c r="M110" s="6" t="s">
        <v>420</v>
      </c>
    </row>
    <row r="111" customFormat="false" ht="15" hidden="false" customHeight="false" outlineLevel="0" collapsed="false">
      <c r="A111" s="13" t="s">
        <v>376</v>
      </c>
      <c r="B111" s="7" t="n">
        <v>730</v>
      </c>
      <c r="C111" s="7" t="n">
        <v>635</v>
      </c>
      <c r="D111" s="7" t="n">
        <v>518</v>
      </c>
      <c r="E111" s="14" t="n">
        <f aca="false">IFERROR(C111/B111,0)</f>
        <v>0.86986301369863</v>
      </c>
      <c r="F111" s="14" t="n">
        <f aca="false">IFERROR(D111/C111,0)</f>
        <v>0.815748031496063</v>
      </c>
      <c r="J111" s="6" t="s">
        <v>418</v>
      </c>
      <c r="K111" s="6" t="s">
        <v>178</v>
      </c>
      <c r="L111" s="6" t="s">
        <v>70</v>
      </c>
      <c r="M111" s="6" t="s">
        <v>421</v>
      </c>
    </row>
    <row r="112" customFormat="false" ht="15" hidden="false" customHeight="false" outlineLevel="0" collapsed="false">
      <c r="A112" s="13" t="s">
        <v>376</v>
      </c>
      <c r="B112" s="7" t="n">
        <v>199</v>
      </c>
      <c r="C112" s="7" t="n">
        <v>166</v>
      </c>
      <c r="D112" s="7" t="n">
        <v>112</v>
      </c>
      <c r="E112" s="14" t="n">
        <f aca="false">IFERROR(C112/B112,0)</f>
        <v>0.834170854271357</v>
      </c>
      <c r="F112" s="14" t="n">
        <f aca="false">IFERROR(D112/C112,0)</f>
        <v>0.674698795180723</v>
      </c>
      <c r="J112" s="6" t="s">
        <v>422</v>
      </c>
      <c r="K112" s="6" t="s">
        <v>423</v>
      </c>
      <c r="L112" s="6" t="s">
        <v>72</v>
      </c>
      <c r="M112" s="6" t="s">
        <v>424</v>
      </c>
    </row>
    <row r="114" customFormat="false" ht="15" hidden="false" customHeight="false" outlineLevel="0" collapsed="false">
      <c r="A114" s="11" t="s">
        <v>191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customFormat="false" ht="27.75" hidden="false" customHeight="true" outlineLevel="0" collapsed="false">
      <c r="A115" s="5" t="s">
        <v>142</v>
      </c>
      <c r="B115" s="5" t="s">
        <v>111</v>
      </c>
      <c r="C115" s="5" t="s">
        <v>112</v>
      </c>
      <c r="D115" s="5" t="s">
        <v>113</v>
      </c>
      <c r="E115" s="5" t="s">
        <v>114</v>
      </c>
      <c r="F115" s="5" t="s">
        <v>115</v>
      </c>
      <c r="G115" s="5" t="s">
        <v>116</v>
      </c>
      <c r="H115" s="5" t="s">
        <v>117</v>
      </c>
      <c r="I115" s="5" t="s">
        <v>118</v>
      </c>
      <c r="J115" s="5" t="s">
        <v>21</v>
      </c>
      <c r="K115" s="5" t="s">
        <v>22</v>
      </c>
      <c r="L115" s="5" t="s">
        <v>143</v>
      </c>
      <c r="M115" s="5" t="s">
        <v>144</v>
      </c>
    </row>
    <row r="116" customFormat="false" ht="15" hidden="false" customHeight="false" outlineLevel="0" collapsed="false">
      <c r="A116" s="13" t="s">
        <v>376</v>
      </c>
      <c r="B116" s="7" t="n">
        <v>17579</v>
      </c>
      <c r="C116" s="7" t="n">
        <v>17432</v>
      </c>
      <c r="D116" s="7" t="n">
        <v>2029</v>
      </c>
      <c r="E116" s="7" t="n">
        <v>78</v>
      </c>
      <c r="F116" s="14" t="n">
        <f aca="false">IFERROR(C116/B116,0)</f>
        <v>0.991637749587576</v>
      </c>
      <c r="G116" s="14" t="n">
        <f aca="false">IFERROR(D116/C116,0)</f>
        <v>0.116395135383203</v>
      </c>
      <c r="H116" s="14" t="n">
        <f aca="false">IFERROR(E116/C116,0)</f>
        <v>0.00447452960073428</v>
      </c>
      <c r="I116" s="14" t="n">
        <f aca="false">IFERROR(E116/D116,0)</f>
        <v>0.0384425825529818</v>
      </c>
      <c r="J116" s="6" t="s">
        <v>261</v>
      </c>
      <c r="K116" s="6" t="s">
        <v>425</v>
      </c>
      <c r="L116" s="6" t="s">
        <v>64</v>
      </c>
      <c r="M116" s="6" t="s">
        <v>426</v>
      </c>
    </row>
    <row r="117" customFormat="false" ht="15" hidden="false" customHeight="false" outlineLevel="0" collapsed="false">
      <c r="A117" s="13" t="s">
        <v>376</v>
      </c>
      <c r="B117" s="7" t="n">
        <v>1186</v>
      </c>
      <c r="C117" s="7" t="n">
        <v>1132</v>
      </c>
      <c r="D117" s="7" t="n">
        <v>256</v>
      </c>
      <c r="E117" s="7" t="n">
        <v>6</v>
      </c>
      <c r="F117" s="14" t="n">
        <f aca="false">IFERROR(C117/B117,0)</f>
        <v>0.954468802698145</v>
      </c>
      <c r="G117" s="14" t="n">
        <f aca="false">IFERROR(D117/C117,0)</f>
        <v>0.226148409893993</v>
      </c>
      <c r="H117" s="14" t="n">
        <f aca="false">IFERROR(E117/C117,0)</f>
        <v>0.00530035335689046</v>
      </c>
      <c r="I117" s="14" t="n">
        <f aca="false">IFERROR(E117/D117,0)</f>
        <v>0.0234375</v>
      </c>
      <c r="J117" s="6" t="s">
        <v>427</v>
      </c>
      <c r="K117" s="6" t="s">
        <v>428</v>
      </c>
      <c r="L117" s="6" t="s">
        <v>74</v>
      </c>
      <c r="M117" s="6" t="s">
        <v>429</v>
      </c>
    </row>
    <row r="118" customFormat="false" ht="15" hidden="false" customHeight="false" outlineLevel="0" collapsed="false">
      <c r="A118" s="13" t="s">
        <v>376</v>
      </c>
      <c r="B118" s="7" t="n">
        <v>16</v>
      </c>
      <c r="C118" s="7" t="n">
        <v>16</v>
      </c>
      <c r="D118" s="7" t="n">
        <v>16</v>
      </c>
      <c r="E118" s="7" t="n">
        <v>0</v>
      </c>
      <c r="F118" s="14" t="n">
        <f aca="false">IFERROR(C118/B118,0)</f>
        <v>1</v>
      </c>
      <c r="G118" s="14" t="n">
        <f aca="false">IFERROR(D118/C118,0)</f>
        <v>1</v>
      </c>
      <c r="H118" s="14" t="n">
        <f aca="false">IFERROR(E118/C118,0)</f>
        <v>0</v>
      </c>
      <c r="I118" s="14" t="n">
        <f aca="false">IFERROR(E118/D118,0)</f>
        <v>0</v>
      </c>
      <c r="J118" s="6" t="s">
        <v>341</v>
      </c>
      <c r="K118" s="6" t="s">
        <v>414</v>
      </c>
      <c r="L118" s="6" t="s">
        <v>76</v>
      </c>
      <c r="M118" s="6" t="s">
        <v>429</v>
      </c>
    </row>
    <row r="120" customFormat="false" ht="15" hidden="false" customHeight="false" outlineLevel="0" collapsed="false">
      <c r="A120" s="11" t="s">
        <v>338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customFormat="false" ht="27.75" hidden="false" customHeight="true" outlineLevel="0" collapsed="false">
      <c r="A121" s="5" t="s">
        <v>142</v>
      </c>
      <c r="B121" s="5" t="s">
        <v>111</v>
      </c>
      <c r="C121" s="5" t="s">
        <v>112</v>
      </c>
      <c r="D121" s="5" t="s">
        <v>254</v>
      </c>
      <c r="E121" s="5" t="s">
        <v>115</v>
      </c>
      <c r="F121" s="5" t="s">
        <v>126</v>
      </c>
      <c r="G121" s="23"/>
      <c r="H121" s="23"/>
      <c r="I121" s="23"/>
      <c r="J121" s="5" t="s">
        <v>21</v>
      </c>
      <c r="K121" s="5" t="s">
        <v>22</v>
      </c>
      <c r="L121" s="5" t="s">
        <v>143</v>
      </c>
      <c r="M121" s="5" t="s">
        <v>144</v>
      </c>
    </row>
    <row r="122" customFormat="false" ht="15" hidden="false" customHeight="false" outlineLevel="0" collapsed="false">
      <c r="A122" s="13" t="s">
        <v>412</v>
      </c>
      <c r="B122" s="7" t="n">
        <v>30278</v>
      </c>
      <c r="C122" s="7" t="n">
        <v>28603</v>
      </c>
      <c r="D122" s="7" t="n">
        <v>2065</v>
      </c>
      <c r="E122" s="14" t="n">
        <f aca="false">IFERROR(C122/B122,0)</f>
        <v>0.944679305106018</v>
      </c>
      <c r="F122" s="14" t="n">
        <f aca="false">IFERROR(D122/B122,0)</f>
        <v>0.0682013343021336</v>
      </c>
      <c r="J122" s="6" t="s">
        <v>413</v>
      </c>
      <c r="K122" s="6" t="s">
        <v>413</v>
      </c>
      <c r="L122" s="6" t="s">
        <v>66</v>
      </c>
      <c r="M122" s="6" t="s">
        <v>430</v>
      </c>
    </row>
    <row r="123" customFormat="false" ht="15" hidden="false" customHeight="false" outlineLevel="0" collapsed="false">
      <c r="A123" s="13" t="s">
        <v>416</v>
      </c>
      <c r="B123" s="7" t="n">
        <v>30024</v>
      </c>
      <c r="C123" s="7" t="n">
        <v>28737</v>
      </c>
      <c r="D123" s="7" t="n">
        <v>1663</v>
      </c>
      <c r="E123" s="14" t="n">
        <f aca="false">IFERROR(C123/B123,0)</f>
        <v>0.957134292565947</v>
      </c>
      <c r="F123" s="14" t="n">
        <f aca="false">IFERROR(D123/B123,0)</f>
        <v>0.0553890221156408</v>
      </c>
      <c r="J123" s="6" t="s">
        <v>314</v>
      </c>
      <c r="K123" s="6" t="s">
        <v>314</v>
      </c>
      <c r="L123" s="6" t="s">
        <v>66</v>
      </c>
      <c r="M123" s="6" t="s">
        <v>431</v>
      </c>
    </row>
    <row r="124" customFormat="false" ht="15" hidden="false" customHeight="false" outlineLevel="0" collapsed="false">
      <c r="A124" s="13" t="s">
        <v>376</v>
      </c>
      <c r="B124" s="7" t="n">
        <v>611</v>
      </c>
      <c r="C124" s="7" t="n">
        <v>593</v>
      </c>
      <c r="D124" s="7" t="n">
        <v>18</v>
      </c>
      <c r="E124" s="14" t="n">
        <f aca="false">IFERROR(C124/B124,0)</f>
        <v>0.970540098199673</v>
      </c>
      <c r="F124" s="14" t="n">
        <f aca="false">IFERROR(D124/B124,0)</f>
        <v>0.0294599018003273</v>
      </c>
      <c r="J124" s="6" t="s">
        <v>418</v>
      </c>
      <c r="K124" s="6" t="s">
        <v>418</v>
      </c>
      <c r="L124" s="6" t="s">
        <v>68</v>
      </c>
      <c r="M124" s="6" t="s">
        <v>432</v>
      </c>
    </row>
    <row r="125" customFormat="false" ht="15" hidden="false" customHeight="false" outlineLevel="0" collapsed="false">
      <c r="A125" s="13" t="s">
        <v>376</v>
      </c>
      <c r="B125" s="7" t="n">
        <v>446</v>
      </c>
      <c r="C125" s="7" t="n">
        <v>432</v>
      </c>
      <c r="D125" s="7" t="n">
        <v>14</v>
      </c>
      <c r="E125" s="14" t="n">
        <f aca="false">IFERROR(C125/B125,0)</f>
        <v>0.968609865470852</v>
      </c>
      <c r="F125" s="14" t="n">
        <f aca="false">IFERROR(D125/B125,0)</f>
        <v>0.031390134529148</v>
      </c>
      <c r="J125" s="6" t="s">
        <v>418</v>
      </c>
      <c r="K125" s="6" t="s">
        <v>418</v>
      </c>
      <c r="L125" s="6" t="s">
        <v>70</v>
      </c>
      <c r="M125" s="6" t="s">
        <v>433</v>
      </c>
    </row>
    <row r="126" customFormat="false" ht="15" hidden="false" customHeight="false" outlineLevel="0" collapsed="false">
      <c r="A126" s="13" t="s">
        <v>376</v>
      </c>
      <c r="B126" s="7" t="n">
        <v>84</v>
      </c>
      <c r="C126" s="7" t="n">
        <v>78</v>
      </c>
      <c r="D126" s="7" t="n">
        <v>6</v>
      </c>
      <c r="E126" s="14" t="n">
        <f aca="false">IFERROR(C126/B126,0)</f>
        <v>0.928571428571429</v>
      </c>
      <c r="F126" s="14" t="n">
        <f aca="false">IFERROR(D126/B126,0)</f>
        <v>0.0714285714285714</v>
      </c>
      <c r="J126" s="6" t="s">
        <v>422</v>
      </c>
      <c r="K126" s="6" t="s">
        <v>422</v>
      </c>
      <c r="L126" s="6" t="s">
        <v>72</v>
      </c>
      <c r="M126" s="6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2026-10-16T14:04:57Z</dcterms:created>
  <dc:creator>openpyxl</dc:creator>
  <dc:description/>
  <dc:language>en-US</dc:language>
  <cp:lastModifiedBy/>
  <dcterms:modified xsi:type="dcterms:W3CDTF">2026-10-16T14:04:57Z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